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rahman.Aboelela\Desktop\Roster Toolkit v3.0\"/>
    </mc:Choice>
  </mc:AlternateContent>
  <xr:revisionPtr revIDLastSave="0" documentId="13_ncr:1_{13C3C69E-6174-484B-941B-1E7366C7A6CF}" xr6:coauthVersionLast="47" xr6:coauthVersionMax="47" xr10:uidLastSave="{00000000-0000-0000-0000-000000000000}"/>
  <bookViews>
    <workbookView xWindow="-120" yWindow="-120" windowWidth="29040" windowHeight="15720" xr2:uid="{50973BA6-3E83-4D5B-9A14-91B20DCC49AF}"/>
  </bookViews>
  <sheets>
    <sheet name="HeadCount&amp;Database " sheetId="5" r:id="rId1"/>
    <sheet name="Sheet1" sheetId="9" r:id="rId2"/>
    <sheet name="Employe Database" sheetId="2" state="hidden" r:id="rId3"/>
    <sheet name="Head Count " sheetId="4" state="hidden" r:id="rId4"/>
  </sheets>
  <definedNames>
    <definedName name="_xlnm._FilterDatabase" localSheetId="2" hidden="1">'Employe Database'!$E$1:$E$344</definedName>
    <definedName name="_xlnm._FilterDatabase" localSheetId="0" hidden="1">'HeadCount&amp;Database '!$A$1:$F$353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5" l="1"/>
  <c r="O38" i="5"/>
  <c r="K38" i="5"/>
  <c r="O16" i="5"/>
  <c r="K16" i="5"/>
  <c r="O44" i="5"/>
  <c r="K44" i="5"/>
  <c r="T11" i="5"/>
  <c r="O22" i="5" l="1"/>
  <c r="K22" i="5"/>
  <c r="O24" i="5" l="1"/>
  <c r="K24" i="5" l="1"/>
  <c r="K46" i="5"/>
  <c r="O23" i="5"/>
  <c r="K23" i="5"/>
  <c r="K45" i="5" l="1"/>
  <c r="K21" i="5" l="1"/>
  <c r="K20" i="5"/>
  <c r="K19" i="5"/>
  <c r="K18" i="5"/>
  <c r="K17" i="5"/>
  <c r="K15" i="5"/>
  <c r="K14" i="5"/>
  <c r="K13" i="5"/>
  <c r="K12" i="5"/>
  <c r="K11" i="5"/>
  <c r="K10" i="5"/>
  <c r="K9" i="5"/>
  <c r="O43" i="5"/>
  <c r="O42" i="5"/>
  <c r="O41" i="5"/>
  <c r="O40" i="5"/>
  <c r="O39" i="5"/>
  <c r="O37" i="5"/>
  <c r="O36" i="5"/>
  <c r="O35" i="5"/>
  <c r="O34" i="5"/>
  <c r="O33" i="5"/>
  <c r="O32" i="5"/>
  <c r="O31" i="5"/>
  <c r="O30" i="5"/>
  <c r="K43" i="5"/>
  <c r="K42" i="5"/>
  <c r="K41" i="5"/>
  <c r="K40" i="5"/>
  <c r="K39" i="5"/>
  <c r="K37" i="5"/>
  <c r="K36" i="5"/>
  <c r="K35" i="5"/>
  <c r="K34" i="5"/>
  <c r="K33" i="5"/>
  <c r="K32" i="5"/>
  <c r="K31" i="5"/>
  <c r="K30" i="5"/>
  <c r="O21" i="5"/>
  <c r="O20" i="5"/>
  <c r="O19" i="5"/>
  <c r="O18" i="5"/>
  <c r="O17" i="5"/>
  <c r="O15" i="5"/>
  <c r="O14" i="5"/>
  <c r="O13" i="5"/>
  <c r="O12" i="5"/>
  <c r="O11" i="5"/>
  <c r="O10" i="5"/>
  <c r="O9" i="5"/>
  <c r="O8" i="5"/>
  <c r="K8" i="5"/>
  <c r="O7" i="5" l="1"/>
  <c r="K29" i="5"/>
  <c r="K7" i="5"/>
  <c r="J57" i="5"/>
  <c r="O54" i="5"/>
  <c r="K58" i="5"/>
  <c r="L41" i="5"/>
  <c r="L39" i="5"/>
  <c r="P17" i="5"/>
  <c r="P41" i="5"/>
  <c r="P19" i="5"/>
  <c r="L17" i="5"/>
  <c r="L19" i="5"/>
  <c r="P39" i="5"/>
  <c r="O50" i="5"/>
  <c r="K54" i="5"/>
  <c r="O58" i="5"/>
  <c r="O51" i="5"/>
  <c r="O52" i="5"/>
  <c r="J56" i="5"/>
  <c r="O53" i="5"/>
  <c r="N56" i="5"/>
  <c r="N57" i="5"/>
  <c r="O55" i="5"/>
  <c r="K55" i="5"/>
  <c r="M1" i="5" l="1"/>
  <c r="O45" i="5"/>
  <c r="O29" i="5" s="1"/>
  <c r="P23" i="4"/>
  <c r="P17" i="4"/>
  <c r="P24" i="4"/>
  <c r="P22" i="4"/>
  <c r="P38" i="4" l="1"/>
  <c r="P37" i="4"/>
  <c r="P36" i="4"/>
  <c r="P35" i="4"/>
  <c r="P34" i="4"/>
  <c r="P33" i="4"/>
  <c r="P32" i="4"/>
  <c r="P31" i="4"/>
  <c r="P30" i="4"/>
  <c r="P29" i="4"/>
  <c r="P28" i="4"/>
  <c r="P27" i="4"/>
  <c r="I35" i="4"/>
  <c r="I21" i="4"/>
  <c r="I36" i="4"/>
  <c r="I22" i="4"/>
  <c r="I38" i="4"/>
  <c r="I37" i="4"/>
  <c r="I34" i="4"/>
  <c r="I33" i="4"/>
  <c r="I32" i="4"/>
  <c r="I31" i="4"/>
  <c r="I29" i="4"/>
  <c r="I28" i="4"/>
  <c r="I27" i="4"/>
  <c r="P19" i="4"/>
  <c r="I23" i="4"/>
  <c r="P21" i="4"/>
  <c r="P20" i="4"/>
  <c r="P18" i="4"/>
  <c r="P16" i="4"/>
  <c r="P15" i="4"/>
  <c r="P14" i="4"/>
  <c r="P13" i="4"/>
  <c r="I24" i="4" l="1"/>
  <c r="I20" i="4"/>
  <c r="I19" i="4"/>
  <c r="I18" i="4"/>
  <c r="I17" i="4"/>
  <c r="I30" i="4"/>
  <c r="I16" i="4"/>
  <c r="I15" i="4"/>
  <c r="I14" i="4"/>
  <c r="I13" i="4"/>
  <c r="I2" i="4"/>
  <c r="P3" i="4"/>
  <c r="F7" i="4"/>
  <c r="F6" i="4"/>
  <c r="E7" i="4"/>
  <c r="L2" i="4" l="1"/>
  <c r="P1" i="4"/>
  <c r="L1" i="4"/>
  <c r="E10" i="4"/>
  <c r="E9" i="4"/>
  <c r="E8" i="4"/>
  <c r="E6" i="4"/>
  <c r="P2" i="4"/>
  <c r="I3" i="4"/>
  <c r="I1" i="4"/>
  <c r="B1" i="4"/>
  <c r="E2" i="4"/>
  <c r="E1" i="4"/>
  <c r="G7" i="4" l="1"/>
  <c r="G6" i="4"/>
  <c r="V1" i="4" l="1"/>
</calcChain>
</file>

<file path=xl/sharedStrings.xml><?xml version="1.0" encoding="utf-8"?>
<sst xmlns="http://schemas.openxmlformats.org/spreadsheetml/2006/main" count="2218" uniqueCount="534">
  <si>
    <t>Execution Manager</t>
  </si>
  <si>
    <t>Mohamed Ibrahim Mohamed Abo Omar</t>
  </si>
  <si>
    <t>Nader Helmy Abd elal Abbas</t>
  </si>
  <si>
    <t>Shift Manager</t>
  </si>
  <si>
    <t>Amr Soliman Mahmoud Soliman Rashwan</t>
  </si>
  <si>
    <t xml:space="preserve">Hatem Hosny Nafea Ali Moslem </t>
  </si>
  <si>
    <t>Training Manager</t>
  </si>
  <si>
    <t>Mohamed Khalil AbdElhamied Khater</t>
  </si>
  <si>
    <t>Lashing Supervisor</t>
  </si>
  <si>
    <t>Salah Elsayed Elbadawy Mohamed Aleraky</t>
  </si>
  <si>
    <t>Monitoring Team Leader</t>
  </si>
  <si>
    <t>Shady Gamal Abdel Nasser Mohamed AlQashash</t>
  </si>
  <si>
    <t>Ahmed Elbarbary</t>
  </si>
  <si>
    <t xml:space="preserve">Mahmoud Omar Mahmoud Hassan </t>
  </si>
  <si>
    <t>Operation Supervisor</t>
  </si>
  <si>
    <t>Mohamed Alsayed Abass Mohamed Abdelhady</t>
  </si>
  <si>
    <t>Mohamed Elsayed Abdo  Elkamash</t>
  </si>
  <si>
    <t>Mohamed Saad Ahmed Mohamed Badr</t>
  </si>
  <si>
    <t>Mohamed Abo Bakr Khalifa Badawy</t>
  </si>
  <si>
    <t>Amr Ahmed Shabaan Abdelhamid Gomaa</t>
  </si>
  <si>
    <t>Tawheed Aly Younis Aly Younis</t>
  </si>
  <si>
    <t>Mahmoud Sherif Aly Moustafa Abdelmawgod</t>
  </si>
  <si>
    <t>Ahmed Ramadan Mohamed Soliman</t>
  </si>
  <si>
    <t>Training Supervisor</t>
  </si>
  <si>
    <t xml:space="preserve">Mahmoud Mohamed Salama Kamalo </t>
  </si>
  <si>
    <t>Truck Foreman</t>
  </si>
  <si>
    <t>Hossam Eldin Mostafa Alsayed</t>
  </si>
  <si>
    <t>Mohamed Mohamed Mohamed Mohamed Alashry</t>
  </si>
  <si>
    <t>Mohamed Ahmed Alsayed Eissa</t>
  </si>
  <si>
    <t>Aboelmaaty Sheeba Elhamd Gad-Elrab</t>
  </si>
  <si>
    <t>Osama Mohamed Othman</t>
  </si>
  <si>
    <t>Lashing Foreman</t>
  </si>
  <si>
    <t>Mohamed Ibrahim Ibrahim Abdalla</t>
  </si>
  <si>
    <t xml:space="preserve">Bassem Mohamed Ahmed Nazem </t>
  </si>
  <si>
    <t xml:space="preserve">Emad Hamdy Mohamed Ali Zidan </t>
  </si>
  <si>
    <t>Ahmed Saad Shehata Hassanein</t>
  </si>
  <si>
    <t>Mosaad Mohamed Gomaa Mohamed</t>
  </si>
  <si>
    <t>Mohamed Elsayed Mohamed Mohamed Eladham</t>
  </si>
  <si>
    <t>Mohamed Attef Hassan Aly Aly Abouzaid</t>
  </si>
  <si>
    <t>STS Operator</t>
  </si>
  <si>
    <t>Ahmed Hamdy Hassan Hassan Gomaa</t>
  </si>
  <si>
    <t>STS Experience</t>
  </si>
  <si>
    <t>Sohaib Ahmed Ahmed Hassan Abdel Sattar</t>
  </si>
  <si>
    <t>Abdelrahman Abass Mahmoud Mohamed Masoud</t>
  </si>
  <si>
    <t xml:space="preserve">Mahmoud Ahmed Ahmed Ali Alsharawy </t>
  </si>
  <si>
    <t xml:space="preserve">Ahmed Elsayed Ebrahim Elsayed Mohammed </t>
  </si>
  <si>
    <t xml:space="preserve">Khalid mohamed yehia mohamed </t>
  </si>
  <si>
    <t xml:space="preserve">Ali Eissa Ahmed </t>
  </si>
  <si>
    <t>Osama Samy Salem</t>
  </si>
  <si>
    <t xml:space="preserve">Faris Ahmedany Ibrahim Mohamed </t>
  </si>
  <si>
    <t>Ahmed Tarek Alsaeed Khalel Sayed Ahmed</t>
  </si>
  <si>
    <t>STS Fresh</t>
  </si>
  <si>
    <t xml:space="preserve">Ahmed Salah Abdelaziz Ramadan Albah </t>
  </si>
  <si>
    <t>Mohamed Mossad Mohamed Elbdawihy</t>
  </si>
  <si>
    <t>Omr Mohamed Ali Alsanany</t>
  </si>
  <si>
    <t>Tohamy Mohamed Tohamy Mostafa Agwa</t>
  </si>
  <si>
    <t>Mohamed Salaheddin Ramzy Alsaeed Mady</t>
  </si>
  <si>
    <t>Khaled Ahmed Mohamed Ahmed Alawadly</t>
  </si>
  <si>
    <t>Ahmed Emad Ali</t>
  </si>
  <si>
    <t>Ahmed Hassan Hassan Mahmoud Elmoghazy</t>
  </si>
  <si>
    <t>Fares Yasser Ibrahim</t>
  </si>
  <si>
    <t>Mostafa Magdy Mostafa</t>
  </si>
  <si>
    <t>Mahmoud Hussein Mahmoud</t>
  </si>
  <si>
    <t>Hany Mohamed Saleh</t>
  </si>
  <si>
    <t>Ahmed Khaled Hassan Elkomy</t>
  </si>
  <si>
    <t>Abelrahman Mohamed Tesser</t>
  </si>
  <si>
    <t>Mohamed Kamal Aboelenain</t>
  </si>
  <si>
    <t>Mohamed Abdelnaser Abdo Ellabban</t>
  </si>
  <si>
    <t>Yasser Hassan Ali Hassan Ibrahim Eissa</t>
  </si>
  <si>
    <t>Mohamed Abdo Tawfik Abdelghany</t>
  </si>
  <si>
    <t xml:space="preserve">Ahmed Elsayed Ahmed Yousif Elmowafy </t>
  </si>
  <si>
    <t>Ahmed Mohamed Mohamed Ahmed Elsawy</t>
  </si>
  <si>
    <t>Ammar Ashraf Abdelalim Hussien Aly</t>
  </si>
  <si>
    <t>Fady Rabie Rabie Mohamed Shata</t>
  </si>
  <si>
    <t>Ahmed Ibrahim Ali Eissa Elsayad</t>
  </si>
  <si>
    <t>Kariem Mahmoud Hamed Omar</t>
  </si>
  <si>
    <t>Moslem Mohamed Moslem Abbas Moslem</t>
  </si>
  <si>
    <t xml:space="preserve">Motaz Mostafa Mohamed Abdelftah Reizk </t>
  </si>
  <si>
    <t>Mohamed Gamal Mohamed Mohamed Salah</t>
  </si>
  <si>
    <t>Mohamed Youssef Mohamed Youssef Othman</t>
  </si>
  <si>
    <t xml:space="preserve">Ali Mamdoh Ahmed Abdo Fadaly </t>
  </si>
  <si>
    <t>Elhussien khalaf Abdullah Galy</t>
  </si>
  <si>
    <t>Karim Mohamed Mohamed Mohamed Eied</t>
  </si>
  <si>
    <t>RTG Operator</t>
  </si>
  <si>
    <t>Ahmed Ebrahim Ebrahim Elsayeh</t>
  </si>
  <si>
    <t>RTG Experience</t>
  </si>
  <si>
    <t>Yasser Elsayed Mohamed Elzamek</t>
  </si>
  <si>
    <t>Mina Hilal Georgi Hanna</t>
  </si>
  <si>
    <t>Khaled Mahmoud Fathi Al-Balasi</t>
  </si>
  <si>
    <t>Abdulrahman Mohammed Alsayed Abdo Alsayed Jumaa</t>
  </si>
  <si>
    <t>Muhammad Mohsen Alsayed Ali Hanafi</t>
  </si>
  <si>
    <t>Bilal Mahmoud Musaad Al Ezaby</t>
  </si>
  <si>
    <t>Kerols Hany Naome Reyad</t>
  </si>
  <si>
    <t>Alaa Emad Mohamed Nagib</t>
  </si>
  <si>
    <t>Mohamed Elsayed Mohamed Daowod</t>
  </si>
  <si>
    <t>Ahmed Saber Mohamed Ali</t>
  </si>
  <si>
    <t>Mahmoud Al  Zarif Mohamed Sabri Al  Razqi</t>
  </si>
  <si>
    <t>RTG Fresh</t>
  </si>
  <si>
    <t>Mahmoud Reda Mohammed Ibrahim Shalaby</t>
  </si>
  <si>
    <t>Taher Ahmed Saad Abd El Rahman Eid</t>
  </si>
  <si>
    <t>Mohamed Emad Albassiouni Albassiouni Nada</t>
  </si>
  <si>
    <t>Khaled Mesbah Alsayed Nozha</t>
  </si>
  <si>
    <t>Adel Wafiq Mohammed Khalifa</t>
  </si>
  <si>
    <t>Mohammed Abed Jalal Fiala</t>
  </si>
  <si>
    <t>Ahmed Elsayed Mohamed Elsayed Almakhzangy</t>
  </si>
  <si>
    <t>Hisham Mohamed Anwar Al  Sayed</t>
  </si>
  <si>
    <t>Mostafa Hossam Al Sayed Abd ElJalil</t>
  </si>
  <si>
    <t>Hossam Moustafa Saber Saleh</t>
  </si>
  <si>
    <t>Ahmed Tarek Mohamed Gomaa</t>
  </si>
  <si>
    <t>Ihab Adly Mohamed Harissa</t>
  </si>
  <si>
    <t>Saber Mohamed Elzeny Ghanem</t>
  </si>
  <si>
    <t>Khalid Elsayed Mokhtar Faraht</t>
  </si>
  <si>
    <t>Karim Wagdy Elsayed Abdo Eid</t>
  </si>
  <si>
    <t xml:space="preserve">Adel Ahmed Abdelghany Ahmed Eltayeb </t>
  </si>
  <si>
    <t>Islam Mohamed Elsaid Hussein Elsery</t>
  </si>
  <si>
    <t xml:space="preserve">Mohamed Khalf Hussin Khalifa </t>
  </si>
  <si>
    <t>Islam Ali Mossad Mahmoud Darwesh</t>
  </si>
  <si>
    <t xml:space="preserve">Mohamed Ashraf Abdelhakim Soliman Ibrahim Elghetany </t>
  </si>
  <si>
    <t>Ahmed Taysir Eldawody El-dawody</t>
  </si>
  <si>
    <t xml:space="preserve">Mahmoud Elsayed Mohamed Ahmed Masoud </t>
  </si>
  <si>
    <t xml:space="preserve">Ahmed Ibrahim Mohamed Ibrahim Abdo </t>
  </si>
  <si>
    <t>Mohamed Rasmy Kareem Hassan Elmansy</t>
  </si>
  <si>
    <t>Ahmed Mahmoud Zaid Younes Zaid</t>
  </si>
  <si>
    <t>Ayman Taher Younes Ibrahim Ghana</t>
  </si>
  <si>
    <t>Ahmed Rabee Abdelftah Abdelall</t>
  </si>
  <si>
    <t xml:space="preserve">Tarek Ramdan Mostafa Hmady </t>
  </si>
  <si>
    <t xml:space="preserve">Ahmed Yehia Yehia Hussin </t>
  </si>
  <si>
    <t>Abdalla Ahmed Ahmed Gomaa</t>
  </si>
  <si>
    <t>Mohamed Ahmed Fawzy Eissa</t>
  </si>
  <si>
    <t xml:space="preserve">Mohamed Elsayed Elsayed Abdelmksod </t>
  </si>
  <si>
    <t>Mohamed Mohamed Taha El-Saeedi</t>
  </si>
  <si>
    <t>Mohamed Medthat Abdelrhim Sakr</t>
  </si>
  <si>
    <t>Ibrahim Elshahat Abdelaziz Metwaly</t>
  </si>
  <si>
    <t xml:space="preserve">Osama Taha Mohamed Eldsoky Elsayed </t>
  </si>
  <si>
    <t>Badr Tarek Saad Abogadalla</t>
  </si>
  <si>
    <t>Mahmoud Mohamed Ramadan Mohamed Abdo El-Morsy</t>
  </si>
  <si>
    <t>Elsayed Aboelhassan Abdelazim Hashy</t>
  </si>
  <si>
    <t>Ahmed Alaa Mohamed Abdelal El-Eleidy</t>
  </si>
  <si>
    <t>Omar Ahmed Othman Abdelrahman Othman</t>
  </si>
  <si>
    <t xml:space="preserve">Belal Salah Salah Hamed Selim </t>
  </si>
  <si>
    <t xml:space="preserve">Mohamed Fathy Abdo Ahmed Mahmoud </t>
  </si>
  <si>
    <t>Moustafa Saleh Kamal Elemam</t>
  </si>
  <si>
    <t>Abdelwahab Samir Abdelwahab Abdelsalam Wafa</t>
  </si>
  <si>
    <t>Youssif Yasser Youssif Sarhan</t>
  </si>
  <si>
    <t>Ahmed Emad Hosny Elawady Elgendy</t>
  </si>
  <si>
    <t xml:space="preserve">Mohamed Mostafa Abdelrhman Mostafa Elktawy </t>
  </si>
  <si>
    <t>Mahmoud Atteya Ahmed Gawhar</t>
  </si>
  <si>
    <t>Islam Reda Abdellatif Alboraey</t>
  </si>
  <si>
    <t>Islam Saad Aly Ahmed Eissa</t>
  </si>
  <si>
    <t xml:space="preserve">Magdy Elkotb Abo Almatty Ahmed Abo Taleb </t>
  </si>
  <si>
    <t>Aly Mohamed Aly Atta Lasheen</t>
  </si>
  <si>
    <t xml:space="preserve">Khalid Reda Rashed Reizk Elkmash </t>
  </si>
  <si>
    <t>Salem Nabil Salem Abo Elenen</t>
  </si>
  <si>
    <t xml:space="preserve">Hassan Ahmed Hassan Gomaa Elasay </t>
  </si>
  <si>
    <t>Shady Shabaan Zakaria Abdelemam khalaf</t>
  </si>
  <si>
    <t>Mahmoud Mohamed Mohamed Mohamed Elgendy</t>
  </si>
  <si>
    <t>Mahmoud Elsaied Mahmoud Elsayed El Abbasi</t>
  </si>
  <si>
    <t>Omar Ayman Awad Morsy</t>
  </si>
  <si>
    <t>Ibrahim Ahmed Ibrahim Ismail Barakat</t>
  </si>
  <si>
    <t>Khaled Adel Abdou Hassan Megahed</t>
  </si>
  <si>
    <t>Ibrahim Tarek Ibrahim Ibrahim Elsherif</t>
  </si>
  <si>
    <t>Alaa Elsayed Abdelhamid Elsayed Eissa</t>
  </si>
  <si>
    <t>Ahmed Mahmoud Ahmed Abdelsalam</t>
  </si>
  <si>
    <t>Mohamed Emam Anwar Faragallah</t>
  </si>
  <si>
    <t>Mohamed Ayman Fathallah Aly</t>
  </si>
  <si>
    <t>Mazen Osama Mohamed Fathy Shousha</t>
  </si>
  <si>
    <t>Aly Mahmoud Aly Mahmoud Elnagar</t>
  </si>
  <si>
    <t>Mohamed Abdelhamid Fawzy Elzeky</t>
  </si>
  <si>
    <t>Mosaad Naser Ragab Aly Aboelnaga</t>
  </si>
  <si>
    <t>Mohamed Fouad Mahmoud Elbarbary</t>
  </si>
  <si>
    <t>Mohamed Ngah Ameen Eid Hassan</t>
  </si>
  <si>
    <t>Fares Mohamed Ahmed Elsaied Moustafa</t>
  </si>
  <si>
    <t>Ahmed Rafaat Ibrahim Gadelrab</t>
  </si>
  <si>
    <t>Khaled Rabie AbuElabbas Khalil Eltantawy</t>
  </si>
  <si>
    <t>Mahmoud Elsayed Elaraby Ibrahim Shnshn</t>
  </si>
  <si>
    <t>Youssef Samir Youssef Abdelwahed AbouGhriba</t>
  </si>
  <si>
    <t>Ahmed Elsayed Gamaan Elsayed Atteya</t>
  </si>
  <si>
    <t>Mahmoud Elsaied Ahmed Ahmed Elsaied</t>
  </si>
  <si>
    <t>Dispatcher</t>
  </si>
  <si>
    <t xml:space="preserve">Ahmed Fawzy Hussin Abdo Kadah </t>
  </si>
  <si>
    <t>Senior Dispatcher</t>
  </si>
  <si>
    <t>Karim Mahmoud Mahmoud Aleryan</t>
  </si>
  <si>
    <t>Ahmed Gamal Mohamed Ali Soliman</t>
  </si>
  <si>
    <t>Mohamed Hassan Ahmed Aly Elkshawy</t>
  </si>
  <si>
    <t>1285461167 </t>
  </si>
  <si>
    <t>Abdelrahman Ashraf Awad Rakha Zaghlol</t>
  </si>
  <si>
    <t>Mohmed Mahmoud Abdelhamid Aboelregal</t>
  </si>
  <si>
    <t>Ahmed Mohamed Yousef Aboyousf</t>
  </si>
  <si>
    <t>Mohamed Yousef Abass Zaghloul Mousa</t>
  </si>
  <si>
    <t xml:space="preserve">Mohamed Gamal Nasr Elmetwaly </t>
  </si>
  <si>
    <t>Nader ALsayed Mohamed Ibrahim Eldesoky</t>
  </si>
  <si>
    <t xml:space="preserve">Mohamed Monir Taha Ghanam </t>
  </si>
  <si>
    <t>Mohamed Metwaly Ibrahem Metwaly</t>
  </si>
  <si>
    <t>Aseim Maher Fawzy Mohamed Seydan</t>
  </si>
  <si>
    <t>Abdelrhman Ahmed Taha Hassan</t>
  </si>
  <si>
    <t>Yahya Emadeldien Abbas Abdelsalam Qasem</t>
  </si>
  <si>
    <t xml:space="preserve">Abdalla Mahmoud Aziz Mohamed Ali </t>
  </si>
  <si>
    <t>RS&amp;EH Experience</t>
  </si>
  <si>
    <t>Yahia Esmail Abelazim</t>
  </si>
  <si>
    <t>Hassan Galal Mohamed Ahmed Soliman</t>
  </si>
  <si>
    <t xml:space="preserve">Islam Abdelnaser Gamal Mohamed </t>
  </si>
  <si>
    <t>Moustafa Mahmoud Mohamed Mahmoud Hefny</t>
  </si>
  <si>
    <t>Ahmed Elsayed Saber Abdelsalam Khalifa</t>
  </si>
  <si>
    <t>Islam Mahmoud Ahmed Mahmoud El Qaraai</t>
  </si>
  <si>
    <t xml:space="preserve">Hassan Mohamed Mahmoud </t>
  </si>
  <si>
    <t>Rezk Reda Sultan Abdelgalil Abozaid</t>
  </si>
  <si>
    <t>Hussien Mohamed Ibrahim Eldesoky Megahed</t>
  </si>
  <si>
    <t>D&amp;W</t>
  </si>
  <si>
    <t xml:space="preserve">Mohamed Mahmoud Mohamed Ibrahim Romeh </t>
  </si>
  <si>
    <t>Mohamed Gamal Metwaly Ahmed Aladawy</t>
  </si>
  <si>
    <t>Abdelrahman Sameh Abdelwars Mostafa</t>
  </si>
  <si>
    <t xml:space="preserve">Abdelrhman Mourad </t>
  </si>
  <si>
    <t>Ahmed Mohamed Elsaeyed Shaker</t>
  </si>
  <si>
    <t xml:space="preserve">Omar Elkhedr </t>
  </si>
  <si>
    <t xml:space="preserve">Mohamed Darahm </t>
  </si>
  <si>
    <t>Ahmed Mohamed Othman Abdullah El Menshi</t>
  </si>
  <si>
    <t>Omar Alaaeldien Taha Elsayegh</t>
  </si>
  <si>
    <t xml:space="preserve">Mohamed Hassan Fouad Hassan Nasr </t>
  </si>
  <si>
    <t>Abdelrahman Mahmoud Talat Mosaad Hirz</t>
  </si>
  <si>
    <t>Abdelrahman Ahmed Abdelrahman Mansour Hamam</t>
  </si>
  <si>
    <t>Zeyad Ibrahim Ibrahim Ashry</t>
  </si>
  <si>
    <t>Khaled Awad Awad Elkashef</t>
  </si>
  <si>
    <t>Hesham Hesham Mohamed Mostafa Elngar</t>
  </si>
  <si>
    <t>Ahmed Moustafa Abdelhady AlFar</t>
  </si>
  <si>
    <t>Ahmed Maher Ezzat Elsaied Eissa</t>
  </si>
  <si>
    <t>Mohamed Alaa Hussien Elsaied khudir</t>
  </si>
  <si>
    <t>Mohamed Magdy Ibrahim Mosaad Saleh</t>
  </si>
  <si>
    <t>Samy Elsaied Ahmed Abdelfattah</t>
  </si>
  <si>
    <t>Mahmoud Magdy Mohamed Salem Shereed</t>
  </si>
  <si>
    <t>Ahmed Hamed Mohamed Aly Agaiz</t>
  </si>
  <si>
    <t>Mohamed Saad Abdelgawad Khalil Ibrahim</t>
  </si>
  <si>
    <t>Mahmoud Shabaan Abo Elenen Seliem</t>
  </si>
  <si>
    <t xml:space="preserve">Mohamed Rabee Wehba Elghareb </t>
  </si>
  <si>
    <t>Hany Ahmed Aly Abdelfattah Qandel</t>
  </si>
  <si>
    <t>Abanoub Melad Gerges Kyrillos Ibrahim</t>
  </si>
  <si>
    <t>Ahmed Rabie Ibrahim Eldesoky Karsou</t>
  </si>
  <si>
    <t>Mohamed Hany Aly najm</t>
  </si>
  <si>
    <t xml:space="preserve">Mohamed Taher Mohamed Mostafa Elatra </t>
  </si>
  <si>
    <t>Ibrahim Fathallah Moustafa Ibrahim Khalil</t>
  </si>
  <si>
    <t>Mahmoud Reda Ibrahim Hegab</t>
  </si>
  <si>
    <t>Ahmed Hamed Mansour Hamed Elhussieny</t>
  </si>
  <si>
    <t>Elsaied Abdou Mohamed Hashesh</t>
  </si>
  <si>
    <t>Mohamed Mahmoud Mohamed Farag Badawya</t>
  </si>
  <si>
    <t>Karim Karem Mohamed Tobar</t>
  </si>
  <si>
    <t>Abdelrazik Marzok Yousif Badawy</t>
  </si>
  <si>
    <t xml:space="preserve">Amr Fouad Mohamed Kamel Abdelhamed </t>
  </si>
  <si>
    <t>Mohamed Osama Mohamed Moustafa Salem</t>
  </si>
  <si>
    <t>Mohamed Abdelmagid Mohamed Abdelmagid Awad</t>
  </si>
  <si>
    <t>Ahmed Mahmoud Taha Mahmoud Aly</t>
  </si>
  <si>
    <t>Hamed Abdelkader Abdelkader Abdelhamed Awad</t>
  </si>
  <si>
    <t xml:space="preserve">Ahmed Elsayed Elsayed Mohamed Selim </t>
  </si>
  <si>
    <t>Karim Ashraf Abdullah Ahmed</t>
  </si>
  <si>
    <t>Moustafa Tarek Ameen Mohamed Hamed</t>
  </si>
  <si>
    <t>Hamed Raafat Hamed Hussien Elghobashy</t>
  </si>
  <si>
    <t>Youssef Ahmed Montaser Mohamed Nasr</t>
  </si>
  <si>
    <t>Karim Elsaied Aboelfotouh Taha Eldeshtey</t>
  </si>
  <si>
    <t>Khaled Fathy Elawady Ahmed</t>
  </si>
  <si>
    <t>Amgad Mohamed Hassan Elkhodary</t>
  </si>
  <si>
    <t>Medhat Eltranese Ramadan Othman Eltranese</t>
  </si>
  <si>
    <t>Ahmed Fesal Ahmed Hassan Abdelkhalek</t>
  </si>
  <si>
    <t>Ahmed Mohamed Rezk Elhamady Amer</t>
  </si>
  <si>
    <t>Zeyad Mohamed Gaber Mahmoud Elmallah</t>
  </si>
  <si>
    <t>Omar Mahmoud Elsayed Saied Omar</t>
  </si>
  <si>
    <t>Mahmoud Mosaad Mohamed Ibrahim Gelby</t>
  </si>
  <si>
    <t>Roster Controller</t>
  </si>
  <si>
    <t>Mahmoud Hamdy Shafik Mohamed Elshashtawy</t>
  </si>
  <si>
    <t>Yousef Ayman Elsanabary</t>
  </si>
  <si>
    <t>Abdelrahman Abdou Abdelrazek Aboelela</t>
  </si>
  <si>
    <t xml:space="preserve">Execution Manager </t>
  </si>
  <si>
    <t>Total Headcount</t>
  </si>
  <si>
    <t>STS Operators</t>
  </si>
  <si>
    <t>RTG Operators</t>
  </si>
  <si>
    <t>RS&amp;EH Operators</t>
  </si>
  <si>
    <t>Beshoy Mounir Awadallah Atteya</t>
  </si>
  <si>
    <t xml:space="preserve">Yousif Shaban Atiaa Mohamed Sayed Ahmed </t>
  </si>
  <si>
    <t>Omar Fathy Abdelsamie Tamraz</t>
  </si>
  <si>
    <t>Ahmed El-Gallad</t>
  </si>
  <si>
    <t>1033735010</t>
  </si>
  <si>
    <t xml:space="preserve">A Shift </t>
  </si>
  <si>
    <t>B Shift</t>
  </si>
  <si>
    <t>C Shift</t>
  </si>
  <si>
    <t>D Shift</t>
  </si>
  <si>
    <t>EX</t>
  </si>
  <si>
    <t>FR</t>
  </si>
  <si>
    <t>Total</t>
  </si>
  <si>
    <t xml:space="preserve">Yousif Tayser Elsayed </t>
  </si>
  <si>
    <t>Ahmed Nabil Ali Badr</t>
  </si>
  <si>
    <t>Ahmed Yasser Elsayed slim</t>
  </si>
  <si>
    <t>Mohamed Ramadan Ahmed Matbouli Abu Radwan</t>
  </si>
  <si>
    <t>1013198620</t>
  </si>
  <si>
    <t>ID</t>
  </si>
  <si>
    <t>Name</t>
  </si>
  <si>
    <t>Phone Number</t>
  </si>
  <si>
    <t>Hire Date</t>
  </si>
  <si>
    <t>Position</t>
  </si>
  <si>
    <t xml:space="preserve">Elsayed Sami Metwally Hosny </t>
  </si>
  <si>
    <t>Mohamed Elsayed Abdelaziz Badr Hassan</t>
  </si>
  <si>
    <t>01202662252</t>
  </si>
  <si>
    <t>1277313940</t>
  </si>
  <si>
    <t>1016959027</t>
  </si>
  <si>
    <t>1009427447</t>
  </si>
  <si>
    <t>1285209108</t>
  </si>
  <si>
    <t>Islam Mohamed Attef Hamed Elmagdy</t>
  </si>
  <si>
    <t>Nabil Attef Rashed Ahmed Elzyat</t>
  </si>
  <si>
    <t>Mohamed Elsayed Elaraby Taha Abdelhamid Elsokary</t>
  </si>
  <si>
    <t>01022834268</t>
  </si>
  <si>
    <t>Moustafa Ibrahim Mahmoud Elshahaat Noureldien</t>
  </si>
  <si>
    <t>Abdelrahman Mohamed Elsayed Abdalshakoor</t>
  </si>
  <si>
    <t>Mohamed Abdelnaser Mohamed Mohamed Elsaka</t>
  </si>
  <si>
    <t>Ahmed Taher Sedek Mohamed Hussien</t>
  </si>
  <si>
    <t>Ahmed Ibrahim Youssef Youssef Zahran</t>
  </si>
  <si>
    <t>Sameh Nabil Aly Aly Enab</t>
  </si>
  <si>
    <t>Mohamed Abdelaziz Mohamed Mohamed Eldesoky</t>
  </si>
  <si>
    <t>Reda Ahmed Youssef Badawy</t>
  </si>
  <si>
    <t>Mohamed Ayman Ahmed Shaheen</t>
  </si>
  <si>
    <t>Mohamed Abdullah Abdelhalim Mohamed Ghars Eldin</t>
  </si>
  <si>
    <t>Moustafa Elsayed ElMandoh Ammar</t>
  </si>
  <si>
    <t>Ahmed Elsayed Hassan Mohamed Elawendy</t>
  </si>
  <si>
    <t>Ahmed Abdou Saad Abdelalim Elzoghby</t>
  </si>
  <si>
    <t>Farouk Sobh Mohamed Ahmed Gawhar</t>
  </si>
  <si>
    <t>Ahmed Mohamed Abdelhamid Rezk Sheasha</t>
  </si>
  <si>
    <t>Islam Mohamed Abdelrahman Hassan Hassanien</t>
  </si>
  <si>
    <t>Mohamed Ibrahim Mohamedy Elsayed Elmakhzangi</t>
  </si>
  <si>
    <t>Mohamed Waael Aly Elatabny</t>
  </si>
  <si>
    <t>Moustafa Mosaad Kamel Ismail</t>
  </si>
  <si>
    <t>Mohamed Sherif Abdelwahed Ramadan</t>
  </si>
  <si>
    <t>Abdelrahman Elhussien Saad Salama</t>
  </si>
  <si>
    <t>Moustafa Mahmoud Ibrahim Mohamed Ahmed</t>
  </si>
  <si>
    <t>Mohamed Akram Abdullah Elbostany</t>
  </si>
  <si>
    <t>Essam Mahmoud Mohamed Khalil</t>
  </si>
  <si>
    <t>Abdelrahman Mohsen Mahmoud Elshamy</t>
  </si>
  <si>
    <t>Karim Mahmoud Lotfy Monsef Nofal</t>
  </si>
  <si>
    <t>Ahmed Yahya Zaky Mohamed Bakry</t>
  </si>
  <si>
    <t>Omar Tarek Ahmed Ismail Elshennawy</t>
  </si>
  <si>
    <t>Ahmed Shabaan Ibrahim Gouda Ibrahim</t>
  </si>
  <si>
    <t>Mohamed Ibrahim Mohamed Mohamed Elshamy</t>
  </si>
  <si>
    <t>Ahmed Tarek Mohamed Abdelghany Saleh</t>
  </si>
  <si>
    <t>Elsayed Mohamed Elsayed Farrag Elamir</t>
  </si>
  <si>
    <t>Mahmoud Mohamed Ghareb Ahmed</t>
  </si>
  <si>
    <t>Ahmed Mohamed Abdelwahab Hanafy Eltabry</t>
  </si>
  <si>
    <t>Mahmoud Ahmed Abdelhamid Ahmed</t>
  </si>
  <si>
    <t>Mohamed Ahmed Mohamed Abdou</t>
  </si>
  <si>
    <t>Amr Ashraf Elhussieny Mokhtar Elnagar</t>
  </si>
  <si>
    <t>Mohamed Elsayed Abdou Elserry</t>
  </si>
  <si>
    <t>Ahmed Gamal Mohamed Aly Samahy</t>
  </si>
  <si>
    <t>Mohamed Mohamed Mohamed Hagrass</t>
  </si>
  <si>
    <t>Mohamed Gamal Ibrahim Elhataab</t>
  </si>
  <si>
    <t>Emad Ashraf Ali Abd Elrazek Ismail</t>
  </si>
  <si>
    <t>Ahmed Ameen Othman Ahmed Helbya</t>
  </si>
  <si>
    <t>26/03/2026</t>
  </si>
  <si>
    <t>Mohamed Yahya Othman Ibrahim Saleh</t>
  </si>
  <si>
    <t>Emad Saad Ahmed Ibrahim teimuh</t>
  </si>
  <si>
    <t>Ahmed Refaat Mohamed Yousry Eltabey</t>
  </si>
  <si>
    <t>Ahmed Shabaan Mohamed Ahmed Oun</t>
  </si>
  <si>
    <t>Mohamed Abdelhamid Shouman Abdelhamid</t>
  </si>
  <si>
    <t>Abdelhamid Reda Abdelhamid Mohamed Aly</t>
  </si>
  <si>
    <t>Mohamed Zaky Hussien Shabaan</t>
  </si>
  <si>
    <t>Taher Mohamed Bahi El Din Moustafa Elhabashy</t>
  </si>
  <si>
    <t>Ahmed Wagdy Ahmed Elsayed</t>
  </si>
  <si>
    <t>Khaled Abdelmonem Abdou Arafa Elmhalawy</t>
  </si>
  <si>
    <t>Ahmed Ahmed Hegazy Elkebs</t>
  </si>
  <si>
    <t>Ahmed Sabra Aly Abo Elenen Gad</t>
  </si>
  <si>
    <t>Osama Hamdy Fawzy Eltantawy</t>
  </si>
  <si>
    <t>Awad Nagy Elsayed Tork</t>
  </si>
  <si>
    <t>Khaled Tarek Dawod Eldesoky Habashy</t>
  </si>
  <si>
    <t>Ahmed Ibrahim Ahmed Mohamed Aly</t>
  </si>
  <si>
    <t>Ismail Hussien Ismail Ahmed Ismail</t>
  </si>
  <si>
    <t>Islam Fathy Elshahaat Motawa Hagers</t>
  </si>
  <si>
    <t>Elsayed Refaat Elsayed Elsayed Ghorab</t>
  </si>
  <si>
    <t>Mohamed Mohamed Kamel Elserry</t>
  </si>
  <si>
    <t>Training</t>
  </si>
  <si>
    <t>Lash</t>
  </si>
  <si>
    <t>RTG</t>
  </si>
  <si>
    <t xml:space="preserve">STS </t>
  </si>
  <si>
    <t>RS&amp;EH</t>
  </si>
  <si>
    <t>A</t>
  </si>
  <si>
    <t>B</t>
  </si>
  <si>
    <t>C</t>
  </si>
  <si>
    <t>Shift</t>
  </si>
  <si>
    <t>DW</t>
  </si>
  <si>
    <t>D</t>
  </si>
  <si>
    <t>Mohamed Elsayed Mohamed Hassan</t>
  </si>
  <si>
    <t>STS Operator(fresh)</t>
  </si>
  <si>
    <t>STS Operator(experience)</t>
  </si>
  <si>
    <t>RTG Operator(fresh)</t>
  </si>
  <si>
    <t>RTG Operator(experience)</t>
  </si>
  <si>
    <t xml:space="preserve">B Shift </t>
  </si>
  <si>
    <t xml:space="preserve">C Shift </t>
  </si>
  <si>
    <t xml:space="preserve">D Shift </t>
  </si>
  <si>
    <t>Dech and Wharf</t>
  </si>
  <si>
    <t>Fresh</t>
  </si>
  <si>
    <t>Sherif Elsayed Mohamed Mosaad Metwally</t>
  </si>
  <si>
    <t>Mohamed Ibrahim Elsayed Ahmed Elsergany</t>
  </si>
  <si>
    <t>Yahya Zakaria Abdullah Abdelaziz Elhanafy</t>
  </si>
  <si>
    <t xml:space="preserve">OPS count </t>
  </si>
  <si>
    <t xml:space="preserve">                                                       </t>
  </si>
  <si>
    <t>Ahmed Gad Mohamed Mohamed Gad</t>
  </si>
  <si>
    <t xml:space="preserve">Detailed Head count </t>
  </si>
  <si>
    <t>Experience</t>
  </si>
  <si>
    <t>Lashing</t>
  </si>
  <si>
    <t>Statistics &amp; Report Supervisor</t>
  </si>
  <si>
    <t>Planner</t>
  </si>
  <si>
    <t>landside Clerk</t>
  </si>
  <si>
    <t>Mahmoud Mohamed Mohamed Elshrbiny</t>
  </si>
  <si>
    <t>01226758626</t>
  </si>
  <si>
    <t>Planning Superintendent</t>
  </si>
  <si>
    <t>Ahmed Mohamed Nasraldin Ahmed Abdelsalam</t>
  </si>
  <si>
    <t>01555634560</t>
  </si>
  <si>
    <t>Hassan Awad Hassan Almanakhly</t>
  </si>
  <si>
    <t>01093757539</t>
  </si>
  <si>
    <t>Mohamed Elsayed Ragab Abdelrahim</t>
  </si>
  <si>
    <t>01116788868</t>
  </si>
  <si>
    <t>Planners</t>
  </si>
  <si>
    <t>Moamen Mahmoud Ibrahim Mahmoud Alkial</t>
  </si>
  <si>
    <t>Yahia Elsayed Ibrahim Alnabawy Mohamed</t>
  </si>
  <si>
    <t>Karim Sabry Aly Salama Eltaifey</t>
  </si>
  <si>
    <t>Basim Abdo Mohamed Mohamed Eldmerdash</t>
  </si>
  <si>
    <t>Saifeldein Ahmed Abdelrahman Hasab Abdelrahman</t>
  </si>
  <si>
    <t>Abdelrhman Mohamed Abdelrhman Elmorsy Omran</t>
  </si>
  <si>
    <t>Ahmed Khaled Mahmoud Mohamed</t>
  </si>
  <si>
    <t>Ahmed Khaled Mostafa Hussin Abdelmgeed</t>
  </si>
  <si>
    <t>Ahmed Mohamed Ramdan Abdelrhman Farh</t>
  </si>
  <si>
    <t>Abdelrahman Magdy Ahmed Mahmoud Ibrahim</t>
  </si>
  <si>
    <t>Mohamed Ihab Mohamed Ibrahim Aboelfarh</t>
  </si>
  <si>
    <t>1177</t>
  </si>
  <si>
    <t>Ahmed Ragaa Mohamed Elesily</t>
  </si>
  <si>
    <t>Fady Gamal Beder Abdelkreem Elmorsy</t>
  </si>
  <si>
    <t>Abdullah Abdelhalim Abdelhamid Nasar</t>
  </si>
  <si>
    <t>Mohand Mohamed Gamal Ibrahim Karimeldeen</t>
  </si>
  <si>
    <t>Mohab Mohamed Aly Hussin Rakha</t>
  </si>
  <si>
    <t>Mohamed Nasser Eldsoky Elmekawy</t>
  </si>
  <si>
    <t>Mahmoud Gamal Hefny Ahmed Abozaid</t>
  </si>
  <si>
    <t>Mohamed Hossam Mohamed Aziz Abdelftah</t>
  </si>
  <si>
    <t>1173</t>
  </si>
  <si>
    <t xml:space="preserve">Nada Hassan </t>
  </si>
  <si>
    <t>01013102052</t>
  </si>
  <si>
    <t>Lanside Clerk</t>
  </si>
  <si>
    <t>Gamal Abdelrhim Mohamed Balah</t>
  </si>
  <si>
    <t>Abdalla Walid Hassan Elsayed Mattar</t>
  </si>
  <si>
    <t>Karim Saad Mohamed Elsaied Meqled</t>
  </si>
  <si>
    <t>Mohamed Asem Abdelhamid Mahmoud</t>
  </si>
  <si>
    <t>Mohamed Osama Mohamed Eltabey Qota</t>
  </si>
  <si>
    <t>Mohamed Ayman Ramadan Ahmed Merdan</t>
  </si>
  <si>
    <t>Khaled Mohamed Elhussieny Aly Fawaz</t>
  </si>
  <si>
    <t>Abdelrahman Mohamed Abdelfatah Elsharksy</t>
  </si>
  <si>
    <t>Ali Amr Mohamed Hassan Khalil</t>
  </si>
  <si>
    <t>Mohamed Ramadan Moustafa Abdelhalim Daif</t>
  </si>
  <si>
    <t>Mohamed Omar Ahmed Mohamed Habeb</t>
  </si>
  <si>
    <t>Mohamed Omar Elsayed Youssef</t>
  </si>
  <si>
    <t>Mohamed Mohamed Farah Farah Hassan</t>
  </si>
  <si>
    <t xml:space="preserve">Mostafa Lekaa Abdelatty Hassan Elagamy </t>
  </si>
  <si>
    <t>Waleed Nagy Mahmoud Abdelrahman</t>
  </si>
  <si>
    <t>Mohamed Naser Ibrahim Mohamed Abdelaal</t>
  </si>
  <si>
    <t>Ayman Mohamed Baiomy Abdelslam</t>
  </si>
  <si>
    <t>Ahmed Magdy Mohamed Yousif Elarian</t>
  </si>
  <si>
    <t>Mohamed Mahmoud Mohamed Hamed Elbana</t>
  </si>
  <si>
    <t>Mohamed Emad Hassan Aly Ayaad</t>
  </si>
  <si>
    <t>Omar Aly Mohamed Shalby safa</t>
  </si>
  <si>
    <t>Mahmoud Ramadan Aly Abou Sleima</t>
  </si>
  <si>
    <t>Mohamed Mohamed Shaker Abdelrahman Khaled</t>
  </si>
  <si>
    <t>Youssef Sameh Ahmed Shabka</t>
  </si>
  <si>
    <t>Abdelwahab Rafat Mahmoud Elazazy</t>
  </si>
  <si>
    <t>Ahmed Mohamed Abdelhady Mostafa</t>
  </si>
  <si>
    <t>Mohamed Aysar Abdelhamid AbouIsmail</t>
  </si>
  <si>
    <t>Eslam Ayman Abdelkhalek Khalil Eldsoky</t>
  </si>
  <si>
    <t>Moataz Mohamed Ibrahim Mohamed Salem</t>
  </si>
  <si>
    <t>Mohamed Ahmed Abdelrahman Mohamed Soliman</t>
  </si>
  <si>
    <t>Ahmed Khaled Hassan Tamam Younis</t>
  </si>
  <si>
    <t>Moustafa Waael Mohamed Ibrahim Elguoshy</t>
  </si>
  <si>
    <t xml:space="preserve">Gate &amp; CF Superintendent </t>
  </si>
  <si>
    <t>Landside Supervisor</t>
  </si>
  <si>
    <t>VLOOKUP with ID</t>
  </si>
  <si>
    <t>Deck and Wharf</t>
  </si>
  <si>
    <t>Mayar Noureldin Ahmed Mohamed Ayad</t>
  </si>
  <si>
    <t>Ahmed El-Hefney</t>
  </si>
  <si>
    <t>Mohamed Ebrahim Mahmoud Arnos</t>
  </si>
  <si>
    <t>Landside Clerk</t>
  </si>
  <si>
    <t>Ahmed Mohamed Hamam Hussin Soliman</t>
  </si>
  <si>
    <t>01203009541</t>
  </si>
  <si>
    <t>01201980106</t>
  </si>
  <si>
    <t>01099221178</t>
  </si>
  <si>
    <t>01146167371</t>
  </si>
  <si>
    <t>01121531224</t>
  </si>
  <si>
    <t>01060448852</t>
  </si>
  <si>
    <t>01557626363</t>
  </si>
  <si>
    <t>01278586214</t>
  </si>
  <si>
    <t>01111278332</t>
  </si>
  <si>
    <t>01229371384</t>
  </si>
  <si>
    <t>01069277801</t>
  </si>
  <si>
    <t>01500083039</t>
  </si>
  <si>
    <t>01117994816</t>
  </si>
  <si>
    <t>01100637020</t>
  </si>
  <si>
    <t>01274173775</t>
  </si>
  <si>
    <t>01225348834</t>
  </si>
  <si>
    <t>01029777052</t>
  </si>
  <si>
    <t>01096693506</t>
  </si>
  <si>
    <t/>
  </si>
  <si>
    <t>01013131917</t>
  </si>
  <si>
    <t>01025070572</t>
  </si>
  <si>
    <t>0109558011</t>
  </si>
  <si>
    <t>01210161973</t>
  </si>
  <si>
    <t>01220284382</t>
  </si>
  <si>
    <t>01221244002</t>
  </si>
  <si>
    <t>01000121437</t>
  </si>
  <si>
    <t>01223387704</t>
  </si>
  <si>
    <t>01007887074</t>
  </si>
  <si>
    <t>01019134424</t>
  </si>
  <si>
    <t>01094684884</t>
  </si>
  <si>
    <t>01095939908</t>
  </si>
  <si>
    <t>01552356463</t>
  </si>
  <si>
    <t>01272943184</t>
  </si>
  <si>
    <t>01201331330</t>
  </si>
  <si>
    <t>01555276388</t>
  </si>
  <si>
    <t>01029102910</t>
  </si>
  <si>
    <t>01009284544</t>
  </si>
  <si>
    <t>01282647373</t>
  </si>
  <si>
    <t>01225655012</t>
  </si>
  <si>
    <t>01140832218</t>
  </si>
  <si>
    <t>01224252203</t>
  </si>
  <si>
    <t>01080000475</t>
  </si>
  <si>
    <t>01550155140</t>
  </si>
  <si>
    <t>0128 4452441</t>
  </si>
  <si>
    <t>0115050 6850‬</t>
  </si>
  <si>
    <t>01011277023</t>
  </si>
  <si>
    <t>01013588768</t>
  </si>
  <si>
    <t>01229678628</t>
  </si>
  <si>
    <t>01069866661</t>
  </si>
  <si>
    <t>01207778020</t>
  </si>
  <si>
    <t>01289382721</t>
  </si>
  <si>
    <t>01211324656</t>
  </si>
  <si>
    <t>01555888325</t>
  </si>
  <si>
    <t>01024999814</t>
  </si>
  <si>
    <t>01221449510</t>
  </si>
  <si>
    <t>Roster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</si>
</sst>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ptos Narrow"/>
      <family val="2"/>
    </font>
    <font>
      <sz val="12"/>
      <color rgb="FF000000"/>
      <name val="Calibri"/>
      <family val="2"/>
    </font>
    <font>
      <b/>
      <sz val="24"/>
      <color theme="1"/>
      <name val="Arial"/>
      <family val="2"/>
      <scheme val="minor"/>
    </font>
    <font>
      <sz val="12"/>
      <color theme="1"/>
      <name val="Aptos Narrow"/>
      <family val="2"/>
    </font>
    <font>
      <b/>
      <sz val="1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/>
      </top>
      <bottom style="medium">
        <color indexed="64"/>
      </bottom>
      <diagonal/>
    </border>
    <border>
      <left/>
      <right style="medium">
        <color indexed="64"/>
      </right>
      <top style="thin">
        <color theme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3">
    <xf numFmtId="0" fontId="0" fillId="0" borderId="0" xfId="0"/>
    <xf numFmtId="0" fontId="0" fillId="7" borderId="0" xfId="0" applyFill="1"/>
    <xf numFmtId="0" fontId="3" fillId="7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5" fillId="11" borderId="2" xfId="0" applyFont="1" applyFill="1" applyBorder="1" applyAlignment="1">
      <alignment horizontal="center" vertical="center"/>
    </xf>
    <xf numFmtId="15" fontId="5" fillId="11" borderId="3" xfId="0" applyNumberFormat="1" applyFont="1" applyFill="1" applyBorder="1" applyAlignment="1">
      <alignment horizontal="center" vertical="center"/>
    </xf>
    <xf numFmtId="15" fontId="5" fillId="11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5" fontId="5" fillId="2" borderId="3" xfId="0" applyNumberFormat="1" applyFont="1" applyFill="1" applyBorder="1" applyAlignment="1">
      <alignment horizontal="center" vertical="center"/>
    </xf>
    <xf numFmtId="15" fontId="5" fillId="2" borderId="4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49" fontId="5" fillId="0" borderId="3" xfId="0" applyNumberFormat="1" applyFont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49" fontId="5" fillId="2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5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" fontId="0" fillId="0" borderId="0" xfId="0" applyNumberFormat="1"/>
    <xf numFmtId="0" fontId="5" fillId="13" borderId="5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vertical="center"/>
    </xf>
    <xf numFmtId="49" fontId="5" fillId="13" borderId="4" xfId="0" applyNumberFormat="1" applyFont="1" applyFill="1" applyBorder="1" applyAlignment="1">
      <alignment horizontal="center" vertical="center"/>
    </xf>
    <xf numFmtId="15" fontId="5" fillId="1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4" fillId="17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15" fontId="13" fillId="2" borderId="8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3" fillId="18" borderId="8" xfId="0" applyFont="1" applyFill="1" applyBorder="1" applyAlignment="1">
      <alignment horizontal="center" vertical="center"/>
    </xf>
    <xf numFmtId="0" fontId="13" fillId="18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vertical="center"/>
    </xf>
    <xf numFmtId="0" fontId="1" fillId="19" borderId="8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15" fontId="5" fillId="11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15" fontId="5" fillId="2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15" fontId="5" fillId="0" borderId="8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49" fontId="5" fillId="3" borderId="8" xfId="0" applyNumberFormat="1" applyFont="1" applyFill="1" applyBorder="1" applyAlignment="1">
      <alignment horizontal="center" vertical="center"/>
    </xf>
    <xf numFmtId="15" fontId="5" fillId="3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49" fontId="8" fillId="2" borderId="8" xfId="0" applyNumberFormat="1" applyFont="1" applyFill="1" applyBorder="1" applyAlignment="1">
      <alignment horizontal="center" vertical="center"/>
    </xf>
    <xf numFmtId="15" fontId="8" fillId="2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49" fontId="8" fillId="0" borderId="8" xfId="0" applyNumberFormat="1" applyFont="1" applyBorder="1" applyAlignment="1">
      <alignment horizontal="center" vertical="center"/>
    </xf>
    <xf numFmtId="15" fontId="8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4" fillId="17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19" borderId="9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4" fillId="17" borderId="17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3" borderId="13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</cellXfs>
  <cellStyles count="2">
    <cellStyle name="Normal" xfId="0" builtinId="0"/>
    <cellStyle name="Normal 3" xfId="1" xr:uid="{DA77F0C1-48D4-47D7-B0EC-508B5A2242F1}"/>
  </cellStyles>
  <dxfs count="504"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fgColor theme="9" tint="0.79998168889431442"/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fgColor theme="9" tint="0.79998168889431442"/>
          <bgColor theme="9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fgColor theme="9" tint="0.79998168889431442"/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fgColor theme="9" tint="0.79998168889431442"/>
          <bgColor theme="9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fgColor theme="9" tint="0.79998168889431442"/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fgColor theme="9" tint="0.79998168889431442"/>
          <bgColor theme="9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6733D6-FF70-4A0B-AF68-72D908EB7E53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rbw1mJ8iXT5GW7bTbXW8q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96C4-F38F-4A33-B9F7-E347A3C44B99}">
  <sheetPr>
    <pageSetUpPr fitToPage="1"/>
  </sheetPr>
  <dimension ref="A1:T414"/>
  <sheetViews>
    <sheetView tabSelected="1" zoomScale="85" zoomScaleNormal="85" workbookViewId="0"/>
  </sheetViews>
  <sheetFormatPr defaultRowHeight="14.25" x14ac:dyDescent="0.2"/>
  <cols>
    <col min="1" max="1" width="7.625" bestFit="1" customWidth="1"/>
    <col min="2" max="2" width="57.25" bestFit="1" customWidth="1"/>
    <col min="3" max="3" width="16.75" bestFit="1" customWidth="1"/>
    <col min="4" max="4" width="16.375" bestFit="1" customWidth="1"/>
    <col min="5" max="5" width="26.875" bestFit="1" customWidth="1"/>
    <col min="6" max="7" width="6" customWidth="1"/>
    <col min="8" max="8" width="6.375" customWidth="1"/>
    <col min="9" max="9" width="11.125" bestFit="1" customWidth="1"/>
    <col min="10" max="10" width="18" customWidth="1"/>
    <col min="11" max="11" width="9" bestFit="1" customWidth="1"/>
    <col min="12" max="12" width="7" customWidth="1"/>
    <col min="13" max="13" width="14.375" customWidth="1"/>
    <col min="14" max="14" width="12.875" customWidth="1"/>
    <col min="15" max="15" width="9.75" customWidth="1"/>
    <col min="16" max="16" width="6" customWidth="1"/>
    <col min="17" max="17" width="14" bestFit="1" customWidth="1"/>
    <col min="18" max="18" width="31.75" bestFit="1" customWidth="1"/>
    <col min="19" max="19" width="11.25" style="73" bestFit="1" customWidth="1"/>
    <col min="20" max="20" width="35" bestFit="1" customWidth="1"/>
    <col min="21" max="21" width="23.375" customWidth="1"/>
    <col min="22" max="22" width="8.625" customWidth="1"/>
  </cols>
  <sheetData>
    <row r="1" spans="1:20" ht="15.75" x14ac:dyDescent="0.2">
      <c r="A1" s="76" t="s">
        <v>290</v>
      </c>
      <c r="B1" s="76" t="s">
        <v>291</v>
      </c>
      <c r="C1" s="76" t="s">
        <v>292</v>
      </c>
      <c r="D1" s="77" t="s">
        <v>293</v>
      </c>
      <c r="E1" s="77" t="s">
        <v>294</v>
      </c>
      <c r="F1" s="77" t="s">
        <v>378</v>
      </c>
      <c r="J1" s="118" t="s">
        <v>269</v>
      </c>
      <c r="K1" s="118"/>
      <c r="L1" s="118"/>
      <c r="M1" s="118">
        <f>SUM(O49:O55,O58:O62,K58:K60,K49:K55)</f>
        <v>386</v>
      </c>
    </row>
    <row r="2" spans="1:20" ht="15.75" x14ac:dyDescent="0.2">
      <c r="A2" s="78">
        <v>1019</v>
      </c>
      <c r="B2" s="79" t="s">
        <v>1</v>
      </c>
      <c r="C2" s="78">
        <v>1013333299</v>
      </c>
      <c r="D2" s="80">
        <v>45452</v>
      </c>
      <c r="E2" s="80" t="s">
        <v>0</v>
      </c>
      <c r="F2" s="66" t="s">
        <v>379</v>
      </c>
      <c r="J2" s="119"/>
      <c r="K2" s="119"/>
      <c r="L2" s="119"/>
      <c r="M2" s="119"/>
    </row>
    <row r="3" spans="1:20" ht="16.5" customHeight="1" x14ac:dyDescent="0.2">
      <c r="A3" s="121" t="s">
        <v>3</v>
      </c>
      <c r="B3" s="121"/>
      <c r="C3" s="121"/>
      <c r="D3" s="121"/>
      <c r="E3" s="121"/>
      <c r="F3" s="121"/>
      <c r="H3" s="120" t="s">
        <v>397</v>
      </c>
      <c r="I3" s="120"/>
      <c r="J3" s="120"/>
      <c r="K3" s="120"/>
      <c r="L3" s="120"/>
      <c r="M3" s="120"/>
      <c r="N3" s="120"/>
      <c r="O3" s="120"/>
      <c r="P3" s="120"/>
    </row>
    <row r="4" spans="1:20" ht="16.5" customHeight="1" x14ac:dyDescent="0.2">
      <c r="A4" s="76" t="s">
        <v>290</v>
      </c>
      <c r="B4" s="76" t="s">
        <v>291</v>
      </c>
      <c r="C4" s="76" t="s">
        <v>292</v>
      </c>
      <c r="D4" s="77" t="s">
        <v>293</v>
      </c>
      <c r="E4" s="77" t="s">
        <v>294</v>
      </c>
      <c r="F4" s="66" t="s">
        <v>378</v>
      </c>
      <c r="H4" s="120"/>
      <c r="I4" s="120"/>
      <c r="J4" s="120"/>
      <c r="K4" s="120"/>
      <c r="L4" s="120"/>
      <c r="M4" s="120"/>
      <c r="N4" s="120"/>
      <c r="O4" s="120"/>
      <c r="P4" s="120"/>
    </row>
    <row r="5" spans="1:20" ht="16.5" customHeight="1" x14ac:dyDescent="0.2">
      <c r="A5" s="81">
        <v>1022</v>
      </c>
      <c r="B5" s="82" t="s">
        <v>2</v>
      </c>
      <c r="C5" s="83">
        <v>1099914441</v>
      </c>
      <c r="D5" s="84">
        <v>45505</v>
      </c>
      <c r="E5" s="80" t="s">
        <v>3</v>
      </c>
      <c r="F5" s="66" t="s">
        <v>380</v>
      </c>
      <c r="H5" s="120"/>
      <c r="I5" s="120"/>
      <c r="J5" s="120"/>
      <c r="K5" s="120"/>
      <c r="L5" s="120"/>
      <c r="M5" s="120"/>
      <c r="N5" s="120"/>
      <c r="O5" s="120"/>
      <c r="P5" s="120"/>
    </row>
    <row r="6" spans="1:20" ht="18" x14ac:dyDescent="0.25">
      <c r="A6" s="78">
        <v>1023</v>
      </c>
      <c r="B6" s="85" t="s">
        <v>4</v>
      </c>
      <c r="C6" s="86">
        <v>1226950094</v>
      </c>
      <c r="D6" s="80">
        <v>45515</v>
      </c>
      <c r="E6" s="80" t="s">
        <v>3</v>
      </c>
      <c r="F6" s="66" t="s">
        <v>376</v>
      </c>
      <c r="I6" s="106" t="s">
        <v>278</v>
      </c>
      <c r="J6" s="106"/>
      <c r="K6" s="106"/>
      <c r="L6" s="7"/>
      <c r="M6" s="106" t="s">
        <v>386</v>
      </c>
      <c r="N6" s="106"/>
      <c r="O6" s="106"/>
    </row>
    <row r="7" spans="1:20" ht="15.75" x14ac:dyDescent="0.2">
      <c r="A7" s="78">
        <v>1052</v>
      </c>
      <c r="B7" s="85" t="s">
        <v>5</v>
      </c>
      <c r="C7" s="86">
        <v>1066681479</v>
      </c>
      <c r="D7" s="80">
        <v>45642</v>
      </c>
      <c r="E7" s="80" t="s">
        <v>3</v>
      </c>
      <c r="F7" s="66" t="s">
        <v>379</v>
      </c>
      <c r="I7" s="115" t="s">
        <v>394</v>
      </c>
      <c r="J7" s="115"/>
      <c r="K7" s="60">
        <f>SUM(K8:K24)</f>
        <v>93</v>
      </c>
      <c r="L7" s="7"/>
      <c r="M7" s="115" t="s">
        <v>394</v>
      </c>
      <c r="N7" s="115"/>
      <c r="O7" s="60">
        <f>SUM(O8:O24)</f>
        <v>92</v>
      </c>
    </row>
    <row r="8" spans="1:20" ht="15.75" x14ac:dyDescent="0.2">
      <c r="A8" s="87">
        <v>1028</v>
      </c>
      <c r="B8" s="88" t="s">
        <v>11</v>
      </c>
      <c r="C8" s="89">
        <v>1033010314</v>
      </c>
      <c r="D8" s="90">
        <v>45566</v>
      </c>
      <c r="E8" s="80" t="s">
        <v>3</v>
      </c>
      <c r="F8" s="66" t="s">
        <v>377</v>
      </c>
      <c r="I8" s="105" t="s">
        <v>3</v>
      </c>
      <c r="J8" s="105"/>
      <c r="K8" s="6">
        <f>COUNTIFS(F2:F458,"A",E2:E458,"Shift Manager")</f>
        <v>0</v>
      </c>
      <c r="L8" s="7"/>
      <c r="M8" s="105" t="s">
        <v>3</v>
      </c>
      <c r="N8" s="105"/>
      <c r="O8" s="6">
        <f>COUNTIFS(F2:F458,"B",E2:E458,"Shift Manager")</f>
        <v>1</v>
      </c>
    </row>
    <row r="9" spans="1:20" ht="16.5" thickBot="1" x14ac:dyDescent="0.25">
      <c r="A9" s="121" t="s">
        <v>10</v>
      </c>
      <c r="B9" s="121"/>
      <c r="C9" s="121"/>
      <c r="D9" s="121"/>
      <c r="E9" s="121"/>
      <c r="F9" s="121"/>
      <c r="I9" s="105" t="s">
        <v>14</v>
      </c>
      <c r="J9" s="105"/>
      <c r="K9" s="6">
        <f>COUNTIFS(F2:F458,"A",E2:E458,"Operation Supervisor")</f>
        <v>2</v>
      </c>
      <c r="L9" s="7"/>
      <c r="M9" s="105" t="s">
        <v>14</v>
      </c>
      <c r="N9" s="105"/>
      <c r="O9" s="6">
        <f>COUNTIFS(F2:F458,"B",E2:E458,"Operation Supervisor")</f>
        <v>2</v>
      </c>
    </row>
    <row r="10" spans="1:20" ht="16.5" thickBot="1" x14ac:dyDescent="0.3">
      <c r="A10" s="76" t="s">
        <v>290</v>
      </c>
      <c r="B10" s="76" t="s">
        <v>291</v>
      </c>
      <c r="C10" s="76" t="s">
        <v>292</v>
      </c>
      <c r="D10" s="77" t="s">
        <v>293</v>
      </c>
      <c r="E10" s="77" t="s">
        <v>294</v>
      </c>
      <c r="F10" s="66" t="s">
        <v>378</v>
      </c>
      <c r="I10" s="105" t="s">
        <v>10</v>
      </c>
      <c r="J10" s="105"/>
      <c r="K10" s="6">
        <f>COUNTIFS(F2:F458,"A",E2:E458,"Monitoring Team Leader")</f>
        <v>1</v>
      </c>
      <c r="L10" s="7"/>
      <c r="M10" s="105" t="s">
        <v>10</v>
      </c>
      <c r="N10" s="105"/>
      <c r="O10" s="6">
        <f>COUNTIFS(F2:F458,"B",E2:E458,"Monitoring Team Leader")</f>
        <v>1</v>
      </c>
      <c r="T10" s="71" t="s">
        <v>471</v>
      </c>
    </row>
    <row r="11" spans="1:20" ht="16.5" thickBot="1" x14ac:dyDescent="0.3">
      <c r="A11" s="87">
        <v>1029</v>
      </c>
      <c r="B11" s="88" t="s">
        <v>12</v>
      </c>
      <c r="C11" s="89">
        <v>1203424693</v>
      </c>
      <c r="D11" s="90">
        <v>45566</v>
      </c>
      <c r="E11" s="80" t="s">
        <v>10</v>
      </c>
      <c r="F11" s="66" t="s">
        <v>380</v>
      </c>
      <c r="I11" s="105" t="s">
        <v>180</v>
      </c>
      <c r="J11" s="105"/>
      <c r="K11" s="6">
        <f>COUNTIFS(F2:F458,"A",E2:E458,"Senior Dispatcher")</f>
        <v>1</v>
      </c>
      <c r="L11" s="7"/>
      <c r="M11" s="105" t="s">
        <v>180</v>
      </c>
      <c r="N11" s="105"/>
      <c r="O11" s="6">
        <f>COUNTIFS(F2:F458,"B",E2:E458,"Senior Dispatcher")</f>
        <v>0</v>
      </c>
      <c r="T11" s="72" t="str">
        <f>VLOOKUP(1053,A2:F642,2, FALSE)</f>
        <v xml:space="preserve">Mahmoud Mohamed Salama Kamalo </v>
      </c>
    </row>
    <row r="12" spans="1:20" ht="15.75" x14ac:dyDescent="0.2">
      <c r="A12" s="78">
        <v>1051</v>
      </c>
      <c r="B12" s="85" t="s">
        <v>13</v>
      </c>
      <c r="C12" s="86">
        <v>1226199919</v>
      </c>
      <c r="D12" s="80">
        <v>45642</v>
      </c>
      <c r="E12" s="80" t="s">
        <v>10</v>
      </c>
      <c r="F12" s="66" t="s">
        <v>375</v>
      </c>
      <c r="I12" s="105" t="s">
        <v>178</v>
      </c>
      <c r="J12" s="105"/>
      <c r="K12" s="6">
        <f>COUNTIFS(F2:F458,"A",E2:E458,"Dispatcher")</f>
        <v>3</v>
      </c>
      <c r="L12" s="7"/>
      <c r="M12" s="105" t="s">
        <v>178</v>
      </c>
      <c r="N12" s="105"/>
      <c r="O12" s="6">
        <f>COUNTIFS(F2:F458,"B",E2:E458,"Dispatcher")</f>
        <v>3</v>
      </c>
    </row>
    <row r="13" spans="1:20" ht="15.75" x14ac:dyDescent="0.2">
      <c r="A13" s="78">
        <v>1169</v>
      </c>
      <c r="B13" s="85" t="s">
        <v>181</v>
      </c>
      <c r="C13" s="86">
        <v>1223837242</v>
      </c>
      <c r="D13" s="80">
        <v>45824</v>
      </c>
      <c r="E13" s="80" t="s">
        <v>10</v>
      </c>
      <c r="F13" s="66" t="s">
        <v>376</v>
      </c>
      <c r="I13" s="105" t="s">
        <v>25</v>
      </c>
      <c r="J13" s="105"/>
      <c r="K13" s="6">
        <f>COUNTIFS(F2:F458,"A",E2:E458,"Truck Foreman")</f>
        <v>2</v>
      </c>
      <c r="L13" s="7"/>
      <c r="M13" s="105" t="s">
        <v>25</v>
      </c>
      <c r="N13" s="105"/>
      <c r="O13" s="6">
        <f>COUNTIFS(F2:F458,"B",E2:E458,"Truck Foreman")</f>
        <v>2</v>
      </c>
    </row>
    <row r="14" spans="1:20" ht="15.75" x14ac:dyDescent="0.2">
      <c r="A14" s="121" t="s">
        <v>178</v>
      </c>
      <c r="B14" s="121"/>
      <c r="C14" s="121"/>
      <c r="D14" s="121"/>
      <c r="E14" s="121"/>
      <c r="F14" s="121"/>
      <c r="I14" s="105" t="s">
        <v>31</v>
      </c>
      <c r="J14" s="105"/>
      <c r="K14" s="6">
        <f>COUNTIFS(F2:F458,"A",E2:E458,"Lashing Foreman")</f>
        <v>2</v>
      </c>
      <c r="L14" s="7"/>
      <c r="M14" s="105" t="s">
        <v>31</v>
      </c>
      <c r="N14" s="105"/>
      <c r="O14" s="6">
        <f>COUNTIFS(F2:F458,"B",E2:E458,"Lashing Foreman")</f>
        <v>2</v>
      </c>
    </row>
    <row r="15" spans="1:20" ht="15.75" x14ac:dyDescent="0.2">
      <c r="A15" s="76" t="s">
        <v>290</v>
      </c>
      <c r="B15" s="76" t="s">
        <v>291</v>
      </c>
      <c r="C15" s="76" t="s">
        <v>292</v>
      </c>
      <c r="D15" s="77" t="s">
        <v>293</v>
      </c>
      <c r="E15" s="77" t="s">
        <v>294</v>
      </c>
      <c r="F15" s="66" t="s">
        <v>378</v>
      </c>
      <c r="I15" s="105" t="s">
        <v>264</v>
      </c>
      <c r="J15" s="105"/>
      <c r="K15" s="6">
        <f>COUNTIFS(F2:F458,"A",E2:E458,"Roster Controller")</f>
        <v>0</v>
      </c>
      <c r="L15" s="7"/>
      <c r="M15" s="105" t="s">
        <v>264</v>
      </c>
      <c r="N15" s="105"/>
      <c r="O15" s="6">
        <f>COUNTIFS(F2:F458,"B",E2:E458,"Roster Controller")</f>
        <v>1</v>
      </c>
    </row>
    <row r="16" spans="1:20" ht="15.75" x14ac:dyDescent="0.2">
      <c r="A16" s="78">
        <v>1102</v>
      </c>
      <c r="B16" s="85" t="s">
        <v>179</v>
      </c>
      <c r="C16" s="86">
        <v>1064071811</v>
      </c>
      <c r="D16" s="80">
        <v>45781</v>
      </c>
      <c r="E16" s="80" t="s">
        <v>180</v>
      </c>
      <c r="F16" s="66" t="s">
        <v>377</v>
      </c>
      <c r="I16" s="105" t="s">
        <v>472</v>
      </c>
      <c r="J16" s="105"/>
      <c r="K16" s="6">
        <f>COUNTIFS(F2:F458,"A",E2:E458,"Deck and Wharf")</f>
        <v>22</v>
      </c>
      <c r="L16" s="7"/>
      <c r="M16" s="105" t="s">
        <v>389</v>
      </c>
      <c r="N16" s="105"/>
      <c r="O16" s="6">
        <f>COUNTIFS(F2:F458,"B",E2:E458,"Deck and Wharf")</f>
        <v>22</v>
      </c>
    </row>
    <row r="17" spans="1:16" ht="15.75" x14ac:dyDescent="0.2">
      <c r="A17" s="78">
        <v>1193</v>
      </c>
      <c r="B17" s="85" t="s">
        <v>182</v>
      </c>
      <c r="C17" s="86">
        <v>1124581132</v>
      </c>
      <c r="D17" s="80">
        <v>45860</v>
      </c>
      <c r="E17" s="80" t="s">
        <v>180</v>
      </c>
      <c r="F17" s="66" t="s">
        <v>375</v>
      </c>
      <c r="I17" s="103" t="s">
        <v>382</v>
      </c>
      <c r="J17" s="103"/>
      <c r="K17" s="58">
        <f>COUNTIFS(F2:F458,"A",E2:E458,"STS Fresh")</f>
        <v>9</v>
      </c>
      <c r="L17" s="103">
        <f>SUM(K17+K18)</f>
        <v>13</v>
      </c>
      <c r="M17" s="103" t="s">
        <v>382</v>
      </c>
      <c r="N17" s="103"/>
      <c r="O17" s="58">
        <f>COUNTIFS(F2:F458,"B",E2:E458,"STS Fresh")</f>
        <v>8</v>
      </c>
      <c r="P17" s="103">
        <f>SUM(O17+O18)</f>
        <v>13</v>
      </c>
    </row>
    <row r="18" spans="1:16" ht="15.75" x14ac:dyDescent="0.2">
      <c r="A18" s="78">
        <v>1258</v>
      </c>
      <c r="B18" s="85" t="s">
        <v>183</v>
      </c>
      <c r="C18" s="86" t="s">
        <v>184</v>
      </c>
      <c r="D18" s="80">
        <v>45914</v>
      </c>
      <c r="E18" s="80" t="s">
        <v>180</v>
      </c>
      <c r="F18" s="66" t="s">
        <v>380</v>
      </c>
      <c r="I18" s="103" t="s">
        <v>383</v>
      </c>
      <c r="J18" s="103"/>
      <c r="K18" s="58">
        <f>COUNTIFS(F2:F458,"A",E2:E458,"STS Experience")</f>
        <v>4</v>
      </c>
      <c r="L18" s="103"/>
      <c r="M18" s="103" t="s">
        <v>383</v>
      </c>
      <c r="N18" s="103"/>
      <c r="O18" s="58">
        <f>COUNTIFS(F2:F458,"B",E2:E458,"STS Experience")</f>
        <v>5</v>
      </c>
      <c r="P18" s="103"/>
    </row>
    <row r="19" spans="1:16" ht="15.75" x14ac:dyDescent="0.2">
      <c r="A19" s="78">
        <v>1121</v>
      </c>
      <c r="B19" s="85" t="s">
        <v>185</v>
      </c>
      <c r="C19" s="86">
        <v>1061573966</v>
      </c>
      <c r="D19" s="80">
        <v>45809</v>
      </c>
      <c r="E19" s="80" t="s">
        <v>178</v>
      </c>
      <c r="F19" s="66" t="s">
        <v>375</v>
      </c>
      <c r="I19" s="104" t="s">
        <v>384</v>
      </c>
      <c r="J19" s="104"/>
      <c r="K19" s="61">
        <f>COUNTIFS(F2:F458,"A",E2:E458,"RTG Fresh")</f>
        <v>20</v>
      </c>
      <c r="L19" s="104">
        <f>SUM(K19+K20)</f>
        <v>30</v>
      </c>
      <c r="M19" s="104" t="s">
        <v>384</v>
      </c>
      <c r="N19" s="104"/>
      <c r="O19" s="61">
        <f>COUNTIFS(F2:F458,"B",E2:E458,"RTG Fresh")</f>
        <v>20</v>
      </c>
      <c r="P19" s="104">
        <f>SUM(O19+O20)</f>
        <v>30</v>
      </c>
    </row>
    <row r="20" spans="1:16" ht="15.75" x14ac:dyDescent="0.2">
      <c r="A20" s="78">
        <v>1122</v>
      </c>
      <c r="B20" s="85" t="s">
        <v>186</v>
      </c>
      <c r="C20" s="86" t="s">
        <v>277</v>
      </c>
      <c r="D20" s="80">
        <v>45809</v>
      </c>
      <c r="E20" s="80" t="s">
        <v>178</v>
      </c>
      <c r="F20" s="66" t="s">
        <v>377</v>
      </c>
      <c r="I20" s="104" t="s">
        <v>385</v>
      </c>
      <c r="J20" s="104"/>
      <c r="K20" s="61">
        <f>COUNTIFS(F2:F458,"A",E2:E458,"RTG Experience")</f>
        <v>10</v>
      </c>
      <c r="L20" s="104"/>
      <c r="M20" s="104" t="s">
        <v>385</v>
      </c>
      <c r="N20" s="104"/>
      <c r="O20" s="61">
        <f>COUNTIFS(F2:F458,"B",E2:E458,"RTG Experience")</f>
        <v>10</v>
      </c>
      <c r="P20" s="104"/>
    </row>
    <row r="21" spans="1:16" ht="15.75" x14ac:dyDescent="0.2">
      <c r="A21" s="78">
        <v>1126</v>
      </c>
      <c r="B21" s="85" t="s">
        <v>187</v>
      </c>
      <c r="C21" s="86" t="s">
        <v>299</v>
      </c>
      <c r="D21" s="80">
        <v>45809</v>
      </c>
      <c r="E21" s="80" t="s">
        <v>178</v>
      </c>
      <c r="F21" s="66" t="s">
        <v>380</v>
      </c>
      <c r="I21" s="105" t="s">
        <v>272</v>
      </c>
      <c r="J21" s="105"/>
      <c r="K21" s="6">
        <f>COUNTIFS(F2:F458,"A",E2:E458,"RS&amp;EH Experience")</f>
        <v>3</v>
      </c>
      <c r="L21" s="7"/>
      <c r="M21" s="105" t="s">
        <v>272</v>
      </c>
      <c r="N21" s="105"/>
      <c r="O21" s="6">
        <f>COUNTIFS(F2:F458,"B",E2:E458,"RS&amp;EH Experience")</f>
        <v>3</v>
      </c>
    </row>
    <row r="22" spans="1:16" ht="15.75" x14ac:dyDescent="0.2">
      <c r="A22" s="78">
        <v>1127</v>
      </c>
      <c r="B22" s="85" t="s">
        <v>188</v>
      </c>
      <c r="C22" s="86">
        <v>1061573966</v>
      </c>
      <c r="D22" s="80">
        <v>45809</v>
      </c>
      <c r="E22" s="80" t="s">
        <v>178</v>
      </c>
      <c r="F22" s="66" t="s">
        <v>380</v>
      </c>
      <c r="I22" s="105" t="s">
        <v>402</v>
      </c>
      <c r="J22" s="105"/>
      <c r="K22" s="6">
        <f>COUNTIFS(F3:F459,"A",E3:E459,"landside Clerk")</f>
        <v>8</v>
      </c>
      <c r="L22" s="7"/>
      <c r="M22" s="105" t="s">
        <v>402</v>
      </c>
      <c r="N22" s="105"/>
      <c r="O22" s="6">
        <f>COUNTIFS(F3:F459,"B",E3:E459,"landside Clerk")</f>
        <v>7</v>
      </c>
    </row>
    <row r="23" spans="1:16" ht="15.75" x14ac:dyDescent="0.2">
      <c r="A23" s="78">
        <v>1146</v>
      </c>
      <c r="B23" s="85" t="s">
        <v>189</v>
      </c>
      <c r="C23" s="86">
        <v>1095801434</v>
      </c>
      <c r="D23" s="80">
        <v>45809</v>
      </c>
      <c r="E23" s="80" t="s">
        <v>178</v>
      </c>
      <c r="F23" s="66" t="s">
        <v>380</v>
      </c>
      <c r="I23" s="105" t="s">
        <v>405</v>
      </c>
      <c r="J23" s="105"/>
      <c r="K23" s="6">
        <f>COUNTIFS(F6:F462,"A",E6:E462,"Planning Superintendent")</f>
        <v>1</v>
      </c>
      <c r="L23" s="7"/>
      <c r="M23" s="105" t="s">
        <v>405</v>
      </c>
      <c r="N23" s="105"/>
      <c r="O23" s="6">
        <f>COUNTIFS(F4:F460,"B",E4:E460,"Planning Superintendent")</f>
        <v>1</v>
      </c>
    </row>
    <row r="24" spans="1:16" ht="15.75" x14ac:dyDescent="0.2">
      <c r="A24" s="78">
        <v>1153</v>
      </c>
      <c r="B24" s="85" t="s">
        <v>190</v>
      </c>
      <c r="C24" s="86">
        <v>1020036033</v>
      </c>
      <c r="D24" s="80">
        <v>45819</v>
      </c>
      <c r="E24" s="80" t="s">
        <v>178</v>
      </c>
      <c r="F24" s="66" t="s">
        <v>376</v>
      </c>
      <c r="I24" s="105" t="s">
        <v>401</v>
      </c>
      <c r="J24" s="105"/>
      <c r="K24" s="6">
        <f>COUNTIFS(F7:F463,"A",E7:E463,"Planner")</f>
        <v>5</v>
      </c>
      <c r="L24" s="7"/>
      <c r="M24" s="105" t="s">
        <v>401</v>
      </c>
      <c r="N24" s="105"/>
      <c r="O24" s="6">
        <f>COUNTIFS(F5:F461,"B",E5:E461,"Planner")</f>
        <v>4</v>
      </c>
    </row>
    <row r="25" spans="1:16" ht="15.75" x14ac:dyDescent="0.2">
      <c r="A25" s="78">
        <v>1174</v>
      </c>
      <c r="B25" s="85" t="s">
        <v>191</v>
      </c>
      <c r="C25" s="86">
        <v>1286889730</v>
      </c>
      <c r="D25" s="80">
        <v>45839</v>
      </c>
      <c r="E25" s="80" t="s">
        <v>178</v>
      </c>
      <c r="F25" s="66" t="s">
        <v>380</v>
      </c>
    </row>
    <row r="26" spans="1:16" ht="15.75" x14ac:dyDescent="0.2">
      <c r="A26" s="78">
        <v>1175</v>
      </c>
      <c r="B26" s="85" t="s">
        <v>192</v>
      </c>
      <c r="C26" s="86">
        <v>1033990882</v>
      </c>
      <c r="D26" s="80">
        <v>45839</v>
      </c>
      <c r="E26" s="80" t="s">
        <v>178</v>
      </c>
      <c r="F26" s="66" t="s">
        <v>375</v>
      </c>
    </row>
    <row r="27" spans="1:16" ht="15.75" x14ac:dyDescent="0.2">
      <c r="A27" s="78">
        <v>1192</v>
      </c>
      <c r="B27" s="85" t="s">
        <v>193</v>
      </c>
      <c r="C27" s="86">
        <v>1023101219</v>
      </c>
      <c r="D27" s="80">
        <v>45860</v>
      </c>
      <c r="E27" s="80" t="s">
        <v>178</v>
      </c>
      <c r="F27" s="66" t="s">
        <v>376</v>
      </c>
    </row>
    <row r="28" spans="1:16" ht="18" x14ac:dyDescent="0.25">
      <c r="A28" s="78">
        <v>1199</v>
      </c>
      <c r="B28" s="85" t="s">
        <v>194</v>
      </c>
      <c r="C28" s="86">
        <v>1201401252</v>
      </c>
      <c r="D28" s="80">
        <v>45872</v>
      </c>
      <c r="E28" s="80" t="s">
        <v>178</v>
      </c>
      <c r="F28" s="66" t="s">
        <v>377</v>
      </c>
      <c r="I28" s="106" t="s">
        <v>387</v>
      </c>
      <c r="J28" s="106"/>
      <c r="K28" s="106"/>
      <c r="L28" s="7"/>
      <c r="M28" s="106" t="s">
        <v>388</v>
      </c>
      <c r="N28" s="106"/>
      <c r="O28" s="106"/>
    </row>
    <row r="29" spans="1:16" ht="15.75" x14ac:dyDescent="0.2">
      <c r="A29" s="78">
        <v>1425</v>
      </c>
      <c r="B29" s="85" t="s">
        <v>195</v>
      </c>
      <c r="C29" s="86">
        <v>1019614447</v>
      </c>
      <c r="D29" s="80">
        <v>45970</v>
      </c>
      <c r="E29" s="80" t="s">
        <v>178</v>
      </c>
      <c r="F29" s="66" t="s">
        <v>377</v>
      </c>
      <c r="I29" s="115" t="s">
        <v>394</v>
      </c>
      <c r="J29" s="115"/>
      <c r="K29" s="60">
        <f>SUM(K30:K46)</f>
        <v>95</v>
      </c>
      <c r="L29" s="7"/>
      <c r="M29" s="115" t="s">
        <v>394</v>
      </c>
      <c r="N29" s="115"/>
      <c r="O29" s="60">
        <f>SUM(O30:O46)</f>
        <v>92</v>
      </c>
    </row>
    <row r="30" spans="1:16" ht="15.75" x14ac:dyDescent="0.2">
      <c r="A30" s="78">
        <v>1530</v>
      </c>
      <c r="B30" s="85" t="s">
        <v>348</v>
      </c>
      <c r="C30" s="86">
        <v>1557661323</v>
      </c>
      <c r="D30" s="80" t="s">
        <v>349</v>
      </c>
      <c r="E30" s="80" t="s">
        <v>178</v>
      </c>
      <c r="F30" s="66" t="s">
        <v>375</v>
      </c>
      <c r="I30" s="105" t="s">
        <v>3</v>
      </c>
      <c r="J30" s="105"/>
      <c r="K30" s="6">
        <f>COUNTIFS(F2:F458,"C",E2:E458,"Shift Manager")</f>
        <v>1</v>
      </c>
      <c r="L30" s="7"/>
      <c r="M30" s="105" t="s">
        <v>3</v>
      </c>
      <c r="N30" s="105"/>
      <c r="O30" s="6">
        <f>COUNTIFS(F2:F458,"D",E2:E458,"Shift Manager")</f>
        <v>1</v>
      </c>
    </row>
    <row r="31" spans="1:16" ht="15.75" x14ac:dyDescent="0.2">
      <c r="A31" s="78">
        <v>1531</v>
      </c>
      <c r="B31" s="85" t="s">
        <v>350</v>
      </c>
      <c r="C31" s="86">
        <v>1206000428</v>
      </c>
      <c r="D31" s="80" t="s">
        <v>349</v>
      </c>
      <c r="E31" s="80" t="s">
        <v>178</v>
      </c>
      <c r="F31" s="66" t="s">
        <v>376</v>
      </c>
      <c r="I31" s="105" t="s">
        <v>14</v>
      </c>
      <c r="J31" s="105"/>
      <c r="K31" s="6">
        <f>COUNTIFS(F2:F458,"C",E2:E458,"Operation Supervisor")</f>
        <v>3</v>
      </c>
      <c r="L31" s="7"/>
      <c r="M31" s="105" t="s">
        <v>14</v>
      </c>
      <c r="N31" s="105"/>
      <c r="O31" s="6">
        <f>COUNTIFS(F2:F458,"D",E2:E458,"Operation Supervisor")</f>
        <v>2</v>
      </c>
    </row>
    <row r="32" spans="1:16" ht="15.75" x14ac:dyDescent="0.2">
      <c r="A32" s="121" t="s">
        <v>14</v>
      </c>
      <c r="B32" s="121"/>
      <c r="C32" s="121"/>
      <c r="D32" s="121"/>
      <c r="E32" s="121"/>
      <c r="F32" s="121"/>
      <c r="I32" s="105" t="s">
        <v>10</v>
      </c>
      <c r="J32" s="105"/>
      <c r="K32" s="6">
        <f>COUNTIFS(F2:F458,"C",E2:E458,"Monitoring Team Leader")</f>
        <v>0</v>
      </c>
      <c r="L32" s="7"/>
      <c r="M32" s="105" t="s">
        <v>10</v>
      </c>
      <c r="N32" s="105"/>
      <c r="O32" s="6">
        <f>COUNTIFS(F2:F458,"D",E2:E458,"Monitoring Team Leader")</f>
        <v>1</v>
      </c>
    </row>
    <row r="33" spans="1:16" ht="15.75" x14ac:dyDescent="0.2">
      <c r="A33" s="76" t="s">
        <v>290</v>
      </c>
      <c r="B33" s="76" t="s">
        <v>291</v>
      </c>
      <c r="C33" s="76" t="s">
        <v>292</v>
      </c>
      <c r="D33" s="77" t="s">
        <v>293</v>
      </c>
      <c r="E33" s="77" t="s">
        <v>294</v>
      </c>
      <c r="F33" s="66" t="s">
        <v>378</v>
      </c>
      <c r="I33" s="105" t="s">
        <v>180</v>
      </c>
      <c r="J33" s="105"/>
      <c r="K33" s="6">
        <f>COUNTIFS(F2:F458,"C",E2:E458,"Senior Dispatcher")</f>
        <v>1</v>
      </c>
      <c r="L33" s="7"/>
      <c r="M33" s="105" t="s">
        <v>180</v>
      </c>
      <c r="N33" s="105"/>
      <c r="O33" s="6">
        <f>COUNTIFS(F2:F458,"D",E2:E458,"Senior Dispatcher")</f>
        <v>1</v>
      </c>
    </row>
    <row r="34" spans="1:16" ht="15.75" x14ac:dyDescent="0.2">
      <c r="A34" s="78">
        <v>1064</v>
      </c>
      <c r="B34" s="85" t="s">
        <v>15</v>
      </c>
      <c r="C34" s="86">
        <v>1098111708</v>
      </c>
      <c r="D34" s="80">
        <v>45717</v>
      </c>
      <c r="E34" s="80" t="s">
        <v>14</v>
      </c>
      <c r="F34" s="66" t="s">
        <v>375</v>
      </c>
      <c r="I34" s="105" t="s">
        <v>178</v>
      </c>
      <c r="J34" s="105"/>
      <c r="K34" s="6">
        <f>COUNTIFS(F2:F458,"C",E2:E458,"Dispatcher")</f>
        <v>3</v>
      </c>
      <c r="L34" s="7"/>
      <c r="M34" s="105" t="s">
        <v>178</v>
      </c>
      <c r="N34" s="105"/>
      <c r="O34" s="6">
        <f>COUNTIFS(F2:F458,"D",E2:E458,"Dispatcher")</f>
        <v>4</v>
      </c>
    </row>
    <row r="35" spans="1:16" ht="15.75" x14ac:dyDescent="0.2">
      <c r="A35" s="78">
        <v>1065</v>
      </c>
      <c r="B35" s="85" t="s">
        <v>16</v>
      </c>
      <c r="C35" s="86">
        <v>1017419875</v>
      </c>
      <c r="D35" s="80">
        <v>45717</v>
      </c>
      <c r="E35" s="80" t="s">
        <v>14</v>
      </c>
      <c r="F35" s="66" t="s">
        <v>376</v>
      </c>
      <c r="I35" s="105" t="s">
        <v>25</v>
      </c>
      <c r="J35" s="105"/>
      <c r="K35" s="6">
        <f>COUNTIFS(F2:F458,"C",E2:E458,"Truck Foreman")</f>
        <v>2</v>
      </c>
      <c r="L35" s="7"/>
      <c r="M35" s="105" t="s">
        <v>25</v>
      </c>
      <c r="N35" s="105"/>
      <c r="O35" s="6">
        <f>COUNTIFS(F2:F458,"D",E2:E458,"Truck Foreman")</f>
        <v>2</v>
      </c>
    </row>
    <row r="36" spans="1:16" ht="15.75" x14ac:dyDescent="0.2">
      <c r="A36" s="87">
        <v>1067</v>
      </c>
      <c r="B36" s="88" t="s">
        <v>17</v>
      </c>
      <c r="C36" s="89">
        <v>1000044950</v>
      </c>
      <c r="D36" s="90">
        <v>45717</v>
      </c>
      <c r="E36" s="80" t="s">
        <v>14</v>
      </c>
      <c r="F36" s="66" t="s">
        <v>377</v>
      </c>
      <c r="I36" s="105" t="s">
        <v>31</v>
      </c>
      <c r="J36" s="105"/>
      <c r="K36" s="6">
        <f>COUNTIFS(F2:F458,"C",E2:E458,"Lashing Foreman")</f>
        <v>2</v>
      </c>
      <c r="L36" s="7"/>
      <c r="M36" s="105" t="s">
        <v>31</v>
      </c>
      <c r="N36" s="105"/>
      <c r="O36" s="6">
        <f>COUNTIFS(F2:F458,"D",E2:E458,"Lashing Foreman")</f>
        <v>2</v>
      </c>
    </row>
    <row r="37" spans="1:16" ht="15.75" x14ac:dyDescent="0.2">
      <c r="A37" s="78">
        <v>1189</v>
      </c>
      <c r="B37" s="88" t="s">
        <v>18</v>
      </c>
      <c r="C37" s="89">
        <v>1006788757</v>
      </c>
      <c r="D37" s="90">
        <v>45854</v>
      </c>
      <c r="E37" s="80" t="s">
        <v>14</v>
      </c>
      <c r="F37" s="66" t="s">
        <v>380</v>
      </c>
      <c r="I37" s="105" t="s">
        <v>264</v>
      </c>
      <c r="J37" s="105"/>
      <c r="K37" s="6">
        <f>COUNTIFS(F2:F458,"C",E2:E458,"Roster Controller")</f>
        <v>1</v>
      </c>
      <c r="L37" s="7"/>
      <c r="M37" s="105" t="s">
        <v>264</v>
      </c>
      <c r="N37" s="105"/>
      <c r="O37" s="6">
        <f>COUNTIFS(F2:F458,"D",E2:E458,"Roster Controller")</f>
        <v>1</v>
      </c>
    </row>
    <row r="38" spans="1:16" ht="15.75" x14ac:dyDescent="0.2">
      <c r="A38" s="78">
        <v>1372</v>
      </c>
      <c r="B38" s="88" t="s">
        <v>19</v>
      </c>
      <c r="C38" s="89">
        <v>1285478805</v>
      </c>
      <c r="D38" s="90">
        <v>45963</v>
      </c>
      <c r="E38" s="80" t="s">
        <v>14</v>
      </c>
      <c r="F38" s="66" t="s">
        <v>375</v>
      </c>
      <c r="I38" s="105" t="s">
        <v>389</v>
      </c>
      <c r="J38" s="105"/>
      <c r="K38" s="6">
        <f>COUNTIFS(F2:F458,"C",E2:E458,"Deck and Wharf")</f>
        <v>22</v>
      </c>
      <c r="L38" s="7"/>
      <c r="M38" s="105" t="s">
        <v>389</v>
      </c>
      <c r="N38" s="105"/>
      <c r="O38" s="6">
        <f>COUNTIFS(F2:F458,"D",E2:E458,"Deck and Wharf")</f>
        <v>21</v>
      </c>
    </row>
    <row r="39" spans="1:16" ht="15.75" x14ac:dyDescent="0.2">
      <c r="A39" s="78">
        <v>1373</v>
      </c>
      <c r="B39" s="88" t="s">
        <v>20</v>
      </c>
      <c r="C39" s="87">
        <v>1223656736</v>
      </c>
      <c r="D39" s="90">
        <v>45963</v>
      </c>
      <c r="E39" s="80" t="s">
        <v>14</v>
      </c>
      <c r="F39" s="66" t="s">
        <v>380</v>
      </c>
      <c r="I39" s="103" t="s">
        <v>382</v>
      </c>
      <c r="J39" s="103"/>
      <c r="K39" s="58">
        <f>COUNTIFS(F2:F458,"C",E2:E458,"STS Fresh")</f>
        <v>8</v>
      </c>
      <c r="L39" s="116">
        <f>SUM(K39+K40)</f>
        <v>12</v>
      </c>
      <c r="M39" s="103" t="s">
        <v>382</v>
      </c>
      <c r="N39" s="103"/>
      <c r="O39" s="58">
        <f>COUNTIFS(F2:F458,"D",E2:E458,"STS Fresh")</f>
        <v>7</v>
      </c>
      <c r="P39" s="122">
        <f>SUM(O39+O40)</f>
        <v>12</v>
      </c>
    </row>
    <row r="40" spans="1:16" ht="15.75" x14ac:dyDescent="0.2">
      <c r="A40" s="78">
        <v>1374</v>
      </c>
      <c r="B40" s="88" t="s">
        <v>21</v>
      </c>
      <c r="C40" s="89">
        <v>1064252990</v>
      </c>
      <c r="D40" s="90">
        <v>45963</v>
      </c>
      <c r="E40" s="80" t="s">
        <v>14</v>
      </c>
      <c r="F40" s="66" t="s">
        <v>377</v>
      </c>
      <c r="I40" s="103" t="s">
        <v>383</v>
      </c>
      <c r="J40" s="103"/>
      <c r="K40" s="58">
        <f>COUNTIFS(F2:F458,"C",E2:E458,"STS Experience")</f>
        <v>4</v>
      </c>
      <c r="L40" s="117"/>
      <c r="M40" s="103" t="s">
        <v>383</v>
      </c>
      <c r="N40" s="103"/>
      <c r="O40" s="58">
        <f>COUNTIFS(F2:F458,"D",E2:E458,"STS Experience")</f>
        <v>5</v>
      </c>
      <c r="P40" s="123"/>
    </row>
    <row r="41" spans="1:16" ht="15.75" x14ac:dyDescent="0.2">
      <c r="A41" s="78">
        <v>1375</v>
      </c>
      <c r="B41" s="88" t="s">
        <v>22</v>
      </c>
      <c r="C41" s="89">
        <v>1007502484</v>
      </c>
      <c r="D41" s="90">
        <v>45963</v>
      </c>
      <c r="E41" s="80" t="s">
        <v>14</v>
      </c>
      <c r="F41" s="66" t="s">
        <v>376</v>
      </c>
      <c r="I41" s="104" t="s">
        <v>384</v>
      </c>
      <c r="J41" s="104"/>
      <c r="K41" s="61">
        <f>COUNTIFS(F2:F458,"C",E2:E458,"RTG Fresh")</f>
        <v>20</v>
      </c>
      <c r="L41" s="113">
        <f>SUM(K41+K42)</f>
        <v>30</v>
      </c>
      <c r="M41" s="104" t="s">
        <v>384</v>
      </c>
      <c r="N41" s="104"/>
      <c r="O41" s="61">
        <f>COUNTIFS(F2:F458,"D",E2:E458,"RTG Fresh")</f>
        <v>19</v>
      </c>
      <c r="P41" s="124">
        <f>SUM(O41+O42)</f>
        <v>29</v>
      </c>
    </row>
    <row r="42" spans="1:16" ht="15.75" x14ac:dyDescent="0.2">
      <c r="A42" s="78">
        <v>1428</v>
      </c>
      <c r="B42" s="88" t="s">
        <v>275</v>
      </c>
      <c r="C42" s="89">
        <v>1201126212</v>
      </c>
      <c r="D42" s="90">
        <v>45992</v>
      </c>
      <c r="E42" s="80" t="s">
        <v>14</v>
      </c>
      <c r="F42" s="66" t="s">
        <v>377</v>
      </c>
      <c r="I42" s="104" t="s">
        <v>385</v>
      </c>
      <c r="J42" s="104"/>
      <c r="K42" s="61">
        <f>COUNTIFS(F2:F458,"C",E2:E458,"RTG Experience")</f>
        <v>10</v>
      </c>
      <c r="L42" s="114"/>
      <c r="M42" s="104" t="s">
        <v>385</v>
      </c>
      <c r="N42" s="104"/>
      <c r="O42" s="61">
        <f>COUNTIFS(F2:F458,"D",E2:E458,"RTG Experience")</f>
        <v>10</v>
      </c>
      <c r="P42" s="125"/>
    </row>
    <row r="43" spans="1:16" ht="15.75" x14ac:dyDescent="0.2">
      <c r="A43" s="121" t="s">
        <v>370</v>
      </c>
      <c r="B43" s="121"/>
      <c r="C43" s="121"/>
      <c r="D43" s="121"/>
      <c r="E43" s="121"/>
      <c r="F43" s="121"/>
      <c r="I43" s="105" t="s">
        <v>272</v>
      </c>
      <c r="J43" s="105"/>
      <c r="K43" s="6">
        <f>COUNTIFS(F2:F458,"C",E2:E458,"RS&amp;EH Experience")</f>
        <v>3</v>
      </c>
      <c r="L43" s="7"/>
      <c r="M43" s="105" t="s">
        <v>272</v>
      </c>
      <c r="N43" s="105"/>
      <c r="O43" s="6">
        <f>COUNTIFS(F2:F458,"D",E2:E458,"RS&amp;EH Experience")</f>
        <v>3</v>
      </c>
    </row>
    <row r="44" spans="1:16" ht="15.75" x14ac:dyDescent="0.2">
      <c r="A44" s="76" t="s">
        <v>290</v>
      </c>
      <c r="B44" s="76" t="s">
        <v>291</v>
      </c>
      <c r="C44" s="76" t="s">
        <v>292</v>
      </c>
      <c r="D44" s="77" t="s">
        <v>293</v>
      </c>
      <c r="E44" s="77" t="s">
        <v>294</v>
      </c>
      <c r="F44" s="66" t="s">
        <v>378</v>
      </c>
      <c r="I44" s="105" t="s">
        <v>402</v>
      </c>
      <c r="J44" s="105"/>
      <c r="K44" s="6">
        <f>COUNTIFS(F3:F459,"C",E3:E459,"Landside Clerk")</f>
        <v>9</v>
      </c>
      <c r="M44" s="105" t="s">
        <v>402</v>
      </c>
      <c r="N44" s="105"/>
      <c r="O44" s="6">
        <f>COUNTIFS(F3:F459,"D",E3:E459,"Landside Clerk")</f>
        <v>8</v>
      </c>
    </row>
    <row r="45" spans="1:16" ht="15.75" x14ac:dyDescent="0.2">
      <c r="A45" s="78">
        <v>1046</v>
      </c>
      <c r="B45" s="85" t="s">
        <v>7</v>
      </c>
      <c r="C45" s="86">
        <v>1014446422</v>
      </c>
      <c r="D45" s="80">
        <v>45597</v>
      </c>
      <c r="E45" s="80" t="s">
        <v>6</v>
      </c>
      <c r="F45" s="66" t="s">
        <v>379</v>
      </c>
      <c r="I45" s="105" t="s">
        <v>405</v>
      </c>
      <c r="J45" s="105"/>
      <c r="K45" s="6">
        <f>COUNTIFS(F4:F460,"C",E4:E460,"Planning Superintendent")</f>
        <v>1</v>
      </c>
      <c r="L45" s="7"/>
      <c r="M45" s="105" t="s">
        <v>405</v>
      </c>
      <c r="N45" s="105"/>
      <c r="O45" s="6">
        <f>COUNTIFS(J4:J460,"C",I4:I460,"Planning Superintendent")</f>
        <v>0</v>
      </c>
    </row>
    <row r="46" spans="1:16" ht="15.75" x14ac:dyDescent="0.2">
      <c r="A46" s="87">
        <v>1053</v>
      </c>
      <c r="B46" s="88" t="s">
        <v>24</v>
      </c>
      <c r="C46" s="89">
        <v>1090438644</v>
      </c>
      <c r="D46" s="90">
        <v>45645</v>
      </c>
      <c r="E46" s="80" t="s">
        <v>23</v>
      </c>
      <c r="F46" s="66" t="s">
        <v>379</v>
      </c>
      <c r="I46" s="105" t="s">
        <v>401</v>
      </c>
      <c r="J46" s="105"/>
      <c r="K46" s="6">
        <f>COUNTIFS(F5:F461,"C",E5:E461,"Planner")</f>
        <v>5</v>
      </c>
      <c r="M46" s="105" t="s">
        <v>401</v>
      </c>
      <c r="N46" s="105"/>
      <c r="O46" s="6">
        <f>COUNTIFS(F1:F457,"D",E1:E457,"Planner")</f>
        <v>5</v>
      </c>
    </row>
    <row r="47" spans="1:16" ht="15.75" x14ac:dyDescent="0.2">
      <c r="A47" s="76" t="s">
        <v>371</v>
      </c>
      <c r="B47" s="76"/>
      <c r="C47" s="76" t="s">
        <v>399</v>
      </c>
      <c r="D47" s="76"/>
      <c r="E47" s="76"/>
      <c r="F47" s="76"/>
    </row>
    <row r="48" spans="1:16" ht="15.75" x14ac:dyDescent="0.2">
      <c r="A48" s="76" t="s">
        <v>290</v>
      </c>
      <c r="B48" s="76" t="s">
        <v>291</v>
      </c>
      <c r="C48" s="76" t="s">
        <v>292</v>
      </c>
      <c r="D48" s="77" t="s">
        <v>293</v>
      </c>
      <c r="E48" s="77" t="s">
        <v>294</v>
      </c>
      <c r="F48" s="66" t="s">
        <v>378</v>
      </c>
    </row>
    <row r="49" spans="1:15" ht="15.75" x14ac:dyDescent="0.25">
      <c r="A49" s="78">
        <v>1066</v>
      </c>
      <c r="B49" s="85" t="s">
        <v>9</v>
      </c>
      <c r="C49" s="86">
        <v>1221618941</v>
      </c>
      <c r="D49" s="80">
        <v>45717</v>
      </c>
      <c r="E49" s="80" t="s">
        <v>8</v>
      </c>
      <c r="F49" s="66" t="s">
        <v>379</v>
      </c>
      <c r="I49" s="107" t="s">
        <v>3</v>
      </c>
      <c r="J49" s="108"/>
      <c r="K49" s="56">
        <v>4</v>
      </c>
      <c r="L49" s="7"/>
      <c r="M49" s="107" t="s">
        <v>268</v>
      </c>
      <c r="N49" s="108"/>
      <c r="O49" s="56">
        <v>1</v>
      </c>
    </row>
    <row r="50" spans="1:15" ht="15.75" x14ac:dyDescent="0.25">
      <c r="A50" s="78">
        <v>1068</v>
      </c>
      <c r="B50" s="85" t="s">
        <v>32</v>
      </c>
      <c r="C50" s="86">
        <v>1099841315</v>
      </c>
      <c r="D50" s="80">
        <v>45717</v>
      </c>
      <c r="E50" s="80" t="s">
        <v>31</v>
      </c>
      <c r="F50" s="66" t="s">
        <v>379</v>
      </c>
      <c r="I50" s="107" t="s">
        <v>31</v>
      </c>
      <c r="J50" s="108"/>
      <c r="K50" s="56">
        <v>9</v>
      </c>
      <c r="L50" s="7"/>
      <c r="M50" s="107" t="s">
        <v>10</v>
      </c>
      <c r="N50" s="108"/>
      <c r="O50" s="56">
        <f>SUM(K10,O10,K32,O32)</f>
        <v>3</v>
      </c>
    </row>
    <row r="51" spans="1:15" ht="15.75" x14ac:dyDescent="0.25">
      <c r="A51" s="78">
        <v>1158</v>
      </c>
      <c r="B51" s="85" t="s">
        <v>33</v>
      </c>
      <c r="C51" s="86">
        <v>1222767261</v>
      </c>
      <c r="D51" s="80">
        <v>45823</v>
      </c>
      <c r="E51" s="80" t="s">
        <v>31</v>
      </c>
      <c r="F51" s="66" t="s">
        <v>380</v>
      </c>
      <c r="I51" s="107" t="s">
        <v>8</v>
      </c>
      <c r="J51" s="108"/>
      <c r="K51" s="56">
        <v>1</v>
      </c>
      <c r="L51" s="7"/>
      <c r="M51" s="109" t="s">
        <v>180</v>
      </c>
      <c r="N51" s="110"/>
      <c r="O51" s="70">
        <f>SUM(K33,O33,K11,O11)</f>
        <v>3</v>
      </c>
    </row>
    <row r="52" spans="1:15" ht="15.75" x14ac:dyDescent="0.25">
      <c r="A52" s="78">
        <v>1167</v>
      </c>
      <c r="B52" s="85" t="s">
        <v>34</v>
      </c>
      <c r="C52" s="86">
        <v>1288919494</v>
      </c>
      <c r="D52" s="80">
        <v>45823</v>
      </c>
      <c r="E52" s="80" t="s">
        <v>31</v>
      </c>
      <c r="F52" s="66" t="s">
        <v>375</v>
      </c>
      <c r="I52" s="107" t="s">
        <v>6</v>
      </c>
      <c r="J52" s="108"/>
      <c r="K52" s="56">
        <v>1</v>
      </c>
      <c r="L52" s="7"/>
      <c r="M52" s="109" t="s">
        <v>178</v>
      </c>
      <c r="N52" s="110"/>
      <c r="O52" s="70">
        <f>SUM(K12,O12,K34,O34)</f>
        <v>13</v>
      </c>
    </row>
    <row r="53" spans="1:15" ht="15.75" x14ac:dyDescent="0.25">
      <c r="A53" s="78">
        <v>1291</v>
      </c>
      <c r="B53" s="85" t="s">
        <v>35</v>
      </c>
      <c r="C53" s="86">
        <v>1211163369</v>
      </c>
      <c r="D53" s="80">
        <v>45931</v>
      </c>
      <c r="E53" s="80" t="s">
        <v>31</v>
      </c>
      <c r="F53" s="66" t="s">
        <v>377</v>
      </c>
      <c r="I53" s="107" t="s">
        <v>23</v>
      </c>
      <c r="J53" s="108"/>
      <c r="K53" s="56">
        <v>1</v>
      </c>
      <c r="L53" s="7"/>
      <c r="M53" s="109" t="s">
        <v>389</v>
      </c>
      <c r="N53" s="110"/>
      <c r="O53" s="70">
        <f>SUM(K16,O16,K38,O38)</f>
        <v>87</v>
      </c>
    </row>
    <row r="54" spans="1:15" ht="15.75" x14ac:dyDescent="0.25">
      <c r="A54" s="78">
        <v>1292</v>
      </c>
      <c r="B54" s="85" t="s">
        <v>36</v>
      </c>
      <c r="C54" s="86">
        <v>1018614150</v>
      </c>
      <c r="D54" s="80">
        <v>45931</v>
      </c>
      <c r="E54" s="80" t="s">
        <v>31</v>
      </c>
      <c r="F54" s="66" t="s">
        <v>376</v>
      </c>
      <c r="I54" s="107" t="s">
        <v>25</v>
      </c>
      <c r="J54" s="108"/>
      <c r="K54" s="56">
        <f>SUM(K13,O13,K35,O35)</f>
        <v>8</v>
      </c>
      <c r="L54" s="7"/>
      <c r="M54" s="107" t="s">
        <v>14</v>
      </c>
      <c r="N54" s="108"/>
      <c r="O54" s="56">
        <f>SUM(K31,O9,K9,O31)</f>
        <v>9</v>
      </c>
    </row>
    <row r="55" spans="1:15" ht="15.75" x14ac:dyDescent="0.25">
      <c r="A55" s="78">
        <v>1385</v>
      </c>
      <c r="B55" s="85" t="s">
        <v>37</v>
      </c>
      <c r="C55" s="86">
        <v>1060060525</v>
      </c>
      <c r="D55" s="90">
        <v>45963</v>
      </c>
      <c r="E55" s="80" t="s">
        <v>31</v>
      </c>
      <c r="F55" s="66" t="s">
        <v>376</v>
      </c>
      <c r="I55" s="109" t="s">
        <v>270</v>
      </c>
      <c r="J55" s="110"/>
      <c r="K55" s="70">
        <f>SUM(K17,K18,O17,O18,K39,K40,O39,O40)</f>
        <v>50</v>
      </c>
      <c r="L55" s="7"/>
      <c r="M55" s="109" t="s">
        <v>271</v>
      </c>
      <c r="N55" s="110"/>
      <c r="O55" s="70">
        <f>SUM(K19,K20,O19,O20,K41,K42,O41,O42)</f>
        <v>119</v>
      </c>
    </row>
    <row r="56" spans="1:15" ht="15.75" x14ac:dyDescent="0.25">
      <c r="A56" s="78">
        <v>1386</v>
      </c>
      <c r="B56" s="85" t="s">
        <v>38</v>
      </c>
      <c r="C56" s="86">
        <v>1110113373</v>
      </c>
      <c r="D56" s="90">
        <v>45963</v>
      </c>
      <c r="E56" s="80" t="s">
        <v>31</v>
      </c>
      <c r="F56" s="66" t="s">
        <v>380</v>
      </c>
      <c r="I56" s="56" t="s">
        <v>390</v>
      </c>
      <c r="J56" s="111">
        <f>SUM(K17,O17,K39,O39)</f>
        <v>32</v>
      </c>
      <c r="K56" s="112"/>
      <c r="L56" s="7"/>
      <c r="M56" s="56" t="s">
        <v>390</v>
      </c>
      <c r="N56" s="111">
        <f>SUM(K19,O19,K41,O41)</f>
        <v>79</v>
      </c>
      <c r="O56" s="112"/>
    </row>
    <row r="57" spans="1:15" ht="15.75" x14ac:dyDescent="0.25">
      <c r="A57" s="78">
        <v>1453</v>
      </c>
      <c r="B57" s="85" t="s">
        <v>296</v>
      </c>
      <c r="C57" s="86">
        <v>1065620284</v>
      </c>
      <c r="D57" s="80">
        <v>46026</v>
      </c>
      <c r="E57" s="80" t="s">
        <v>31</v>
      </c>
      <c r="F57" s="66" t="s">
        <v>375</v>
      </c>
      <c r="I57" s="56" t="s">
        <v>398</v>
      </c>
      <c r="J57" s="111">
        <f>SUM(K18,O18,O40,K40)</f>
        <v>18</v>
      </c>
      <c r="K57" s="112"/>
      <c r="L57" s="7"/>
      <c r="M57" s="56" t="s">
        <v>398</v>
      </c>
      <c r="N57" s="111">
        <f>SUM(K20,O20,K42,O42)</f>
        <v>40</v>
      </c>
      <c r="O57" s="112"/>
    </row>
    <row r="58" spans="1:15" ht="15.75" x14ac:dyDescent="0.25">
      <c r="A58" s="78">
        <v>1457</v>
      </c>
      <c r="B58" s="85" t="s">
        <v>295</v>
      </c>
      <c r="C58" s="86">
        <v>1117681820</v>
      </c>
      <c r="D58" s="80">
        <v>46026</v>
      </c>
      <c r="E58" s="80" t="s">
        <v>31</v>
      </c>
      <c r="F58" s="66" t="s">
        <v>377</v>
      </c>
      <c r="I58" s="109" t="s">
        <v>272</v>
      </c>
      <c r="J58" s="110"/>
      <c r="K58" s="70">
        <f>SUM(K21,O21,K43,O43)</f>
        <v>12</v>
      </c>
      <c r="L58" s="7"/>
      <c r="M58" s="107" t="s">
        <v>264</v>
      </c>
      <c r="N58" s="108"/>
      <c r="O58" s="56">
        <f>SUM(K15,O15,K37,O37)</f>
        <v>3</v>
      </c>
    </row>
    <row r="59" spans="1:15" ht="15.75" x14ac:dyDescent="0.25">
      <c r="A59" s="121" t="s">
        <v>25</v>
      </c>
      <c r="B59" s="121"/>
      <c r="C59" s="121"/>
      <c r="D59" s="121"/>
      <c r="E59" s="121"/>
      <c r="F59" s="121"/>
      <c r="I59" s="126" t="s">
        <v>476</v>
      </c>
      <c r="J59" s="127"/>
      <c r="K59" s="57">
        <v>35</v>
      </c>
      <c r="L59" s="9"/>
      <c r="M59" s="128" t="s">
        <v>405</v>
      </c>
      <c r="N59" s="128"/>
      <c r="O59" s="57">
        <v>4</v>
      </c>
    </row>
    <row r="60" spans="1:15" ht="15.75" x14ac:dyDescent="0.25">
      <c r="A60" s="76" t="s">
        <v>290</v>
      </c>
      <c r="B60" s="76" t="s">
        <v>291</v>
      </c>
      <c r="C60" s="76" t="s">
        <v>292</v>
      </c>
      <c r="D60" s="77" t="s">
        <v>293</v>
      </c>
      <c r="E60" s="77" t="s">
        <v>294</v>
      </c>
      <c r="F60" s="66" t="s">
        <v>378</v>
      </c>
      <c r="I60" s="129" t="s">
        <v>401</v>
      </c>
      <c r="J60" s="129"/>
      <c r="K60" s="57">
        <v>20</v>
      </c>
      <c r="M60" s="128" t="s">
        <v>469</v>
      </c>
      <c r="N60" s="128"/>
      <c r="O60" s="57">
        <v>1</v>
      </c>
    </row>
    <row r="61" spans="1:15" ht="15.75" x14ac:dyDescent="0.25">
      <c r="A61" s="78">
        <v>1069</v>
      </c>
      <c r="B61" s="85" t="s">
        <v>26</v>
      </c>
      <c r="C61" s="86">
        <v>1282798500</v>
      </c>
      <c r="D61" s="80">
        <v>45717</v>
      </c>
      <c r="E61" s="80" t="s">
        <v>25</v>
      </c>
      <c r="F61" s="66" t="s">
        <v>377</v>
      </c>
      <c r="M61" s="128" t="s">
        <v>470</v>
      </c>
      <c r="N61" s="128"/>
      <c r="O61" s="57">
        <v>1</v>
      </c>
    </row>
    <row r="62" spans="1:15" ht="15.75" x14ac:dyDescent="0.25">
      <c r="A62" s="78">
        <v>1070</v>
      </c>
      <c r="B62" s="85" t="s">
        <v>27</v>
      </c>
      <c r="C62" s="86">
        <v>1098041512</v>
      </c>
      <c r="D62" s="80">
        <v>45717</v>
      </c>
      <c r="E62" s="80" t="s">
        <v>25</v>
      </c>
      <c r="F62" s="66" t="s">
        <v>375</v>
      </c>
      <c r="M62" s="128" t="s">
        <v>400</v>
      </c>
      <c r="N62" s="128"/>
      <c r="O62" s="57">
        <v>1</v>
      </c>
    </row>
    <row r="63" spans="1:15" ht="15.75" x14ac:dyDescent="0.2">
      <c r="A63" s="78">
        <v>1071</v>
      </c>
      <c r="B63" s="85" t="s">
        <v>28</v>
      </c>
      <c r="C63" s="86">
        <v>1555546293</v>
      </c>
      <c r="D63" s="80">
        <v>45717</v>
      </c>
      <c r="E63" s="80" t="s">
        <v>25</v>
      </c>
      <c r="F63" s="66" t="s">
        <v>376</v>
      </c>
    </row>
    <row r="64" spans="1:15" ht="15.75" x14ac:dyDescent="0.2">
      <c r="A64" s="78">
        <v>1163</v>
      </c>
      <c r="B64" s="85" t="s">
        <v>29</v>
      </c>
      <c r="C64" s="86">
        <v>1229275599</v>
      </c>
      <c r="D64" s="80">
        <v>45823</v>
      </c>
      <c r="E64" s="80" t="s">
        <v>25</v>
      </c>
      <c r="F64" s="66" t="s">
        <v>376</v>
      </c>
    </row>
    <row r="65" spans="1:19" ht="15.75" x14ac:dyDescent="0.2">
      <c r="A65" s="78">
        <v>1221</v>
      </c>
      <c r="B65" s="85" t="s">
        <v>30</v>
      </c>
      <c r="C65" s="86">
        <v>1222671611</v>
      </c>
      <c r="D65" s="80">
        <v>45886</v>
      </c>
      <c r="E65" s="80" t="s">
        <v>25</v>
      </c>
      <c r="F65" s="66" t="s">
        <v>380</v>
      </c>
    </row>
    <row r="66" spans="1:19" ht="15.75" x14ac:dyDescent="0.2">
      <c r="A66" s="78">
        <v>1459</v>
      </c>
      <c r="B66" s="79" t="s">
        <v>302</v>
      </c>
      <c r="C66" s="86">
        <v>1223881950</v>
      </c>
      <c r="D66" s="80">
        <v>46054</v>
      </c>
      <c r="E66" s="80" t="s">
        <v>25</v>
      </c>
      <c r="F66" s="66" t="s">
        <v>375</v>
      </c>
    </row>
    <row r="67" spans="1:19" ht="15.75" x14ac:dyDescent="0.2">
      <c r="A67" s="78">
        <v>1463</v>
      </c>
      <c r="B67" s="79" t="s">
        <v>303</v>
      </c>
      <c r="C67" s="86">
        <v>1278655585</v>
      </c>
      <c r="D67" s="80">
        <v>46061</v>
      </c>
      <c r="E67" s="80" t="s">
        <v>25</v>
      </c>
      <c r="F67" s="66" t="s">
        <v>380</v>
      </c>
    </row>
    <row r="68" spans="1:19" s="9" customFormat="1" ht="15.75" x14ac:dyDescent="0.2">
      <c r="A68" s="78">
        <v>1464</v>
      </c>
      <c r="B68" s="79" t="s">
        <v>304</v>
      </c>
      <c r="C68" s="86">
        <v>1228717478</v>
      </c>
      <c r="D68" s="80">
        <v>46061</v>
      </c>
      <c r="E68" s="80" t="s">
        <v>25</v>
      </c>
      <c r="F68" s="66" t="s">
        <v>377</v>
      </c>
      <c r="S68" s="74"/>
    </row>
    <row r="69" spans="1:19" s="9" customFormat="1" ht="15.75" x14ac:dyDescent="0.2">
      <c r="A69" s="121" t="s">
        <v>264</v>
      </c>
      <c r="B69" s="121"/>
      <c r="C69" s="121"/>
      <c r="D69" s="121"/>
      <c r="E69" s="121"/>
      <c r="F69" s="76"/>
      <c r="S69" s="74"/>
    </row>
    <row r="70" spans="1:19" s="9" customFormat="1" ht="15.75" x14ac:dyDescent="0.2">
      <c r="A70" s="76" t="s">
        <v>290</v>
      </c>
      <c r="B70" s="76" t="s">
        <v>291</v>
      </c>
      <c r="C70" s="76" t="s">
        <v>292</v>
      </c>
      <c r="D70" s="77" t="s">
        <v>293</v>
      </c>
      <c r="E70" s="77" t="s">
        <v>294</v>
      </c>
      <c r="F70" s="66" t="s">
        <v>378</v>
      </c>
      <c r="S70" s="74"/>
    </row>
    <row r="71" spans="1:19" ht="15.75" x14ac:dyDescent="0.2">
      <c r="A71" s="78">
        <v>1080</v>
      </c>
      <c r="B71" s="85" t="s">
        <v>265</v>
      </c>
      <c r="C71" s="86">
        <v>1211907813</v>
      </c>
      <c r="D71" s="80">
        <v>45721</v>
      </c>
      <c r="E71" s="80" t="s">
        <v>264</v>
      </c>
      <c r="F71" s="66" t="s">
        <v>376</v>
      </c>
    </row>
    <row r="72" spans="1:19" ht="15.75" x14ac:dyDescent="0.2">
      <c r="A72" s="78">
        <v>1089</v>
      </c>
      <c r="B72" s="85" t="s">
        <v>266</v>
      </c>
      <c r="C72" s="86">
        <v>1091466915</v>
      </c>
      <c r="D72" s="80">
        <v>45753</v>
      </c>
      <c r="E72" s="80" t="s">
        <v>264</v>
      </c>
      <c r="F72" s="66" t="s">
        <v>380</v>
      </c>
    </row>
    <row r="73" spans="1:19" ht="15.75" x14ac:dyDescent="0.2">
      <c r="A73" s="78">
        <v>1376</v>
      </c>
      <c r="B73" s="85" t="s">
        <v>267</v>
      </c>
      <c r="C73" s="78">
        <v>1505087841</v>
      </c>
      <c r="D73" s="80">
        <v>45963</v>
      </c>
      <c r="E73" s="80" t="s">
        <v>264</v>
      </c>
      <c r="F73" s="66" t="s">
        <v>377</v>
      </c>
    </row>
    <row r="74" spans="1:19" ht="15.75" x14ac:dyDescent="0.2">
      <c r="A74" s="78">
        <v>1430</v>
      </c>
      <c r="B74" s="85" t="s">
        <v>276</v>
      </c>
      <c r="C74" s="86">
        <v>1221236132</v>
      </c>
      <c r="D74" s="80">
        <v>45992</v>
      </c>
      <c r="E74" s="80" t="s">
        <v>533</v>
      </c>
      <c r="F74" s="66" t="s">
        <v>379</v>
      </c>
    </row>
    <row r="75" spans="1:19" ht="15.75" x14ac:dyDescent="0.2">
      <c r="A75" s="121" t="s">
        <v>373</v>
      </c>
      <c r="B75" s="121"/>
      <c r="C75" s="121"/>
      <c r="D75" s="121"/>
      <c r="E75" s="121"/>
      <c r="F75" s="121"/>
    </row>
    <row r="76" spans="1:19" ht="15.75" x14ac:dyDescent="0.2">
      <c r="A76" s="76" t="s">
        <v>290</v>
      </c>
      <c r="B76" s="76" t="s">
        <v>291</v>
      </c>
      <c r="C76" s="76" t="s">
        <v>292</v>
      </c>
      <c r="D76" s="77" t="s">
        <v>293</v>
      </c>
      <c r="E76" s="77" t="s">
        <v>294</v>
      </c>
      <c r="F76" s="66" t="s">
        <v>378</v>
      </c>
    </row>
    <row r="77" spans="1:19" ht="15.75" x14ac:dyDescent="0.2">
      <c r="A77" s="78">
        <v>1055</v>
      </c>
      <c r="B77" s="85" t="s">
        <v>40</v>
      </c>
      <c r="C77" s="86">
        <v>1211418867</v>
      </c>
      <c r="D77" s="80">
        <v>45692</v>
      </c>
      <c r="E77" s="80" t="s">
        <v>41</v>
      </c>
      <c r="F77" s="66" t="s">
        <v>376</v>
      </c>
    </row>
    <row r="78" spans="1:19" ht="15.75" x14ac:dyDescent="0.2">
      <c r="A78" s="78">
        <v>1056</v>
      </c>
      <c r="B78" s="85" t="s">
        <v>42</v>
      </c>
      <c r="C78" s="86">
        <v>1206046917</v>
      </c>
      <c r="D78" s="80">
        <v>45692</v>
      </c>
      <c r="E78" s="80" t="s">
        <v>41</v>
      </c>
      <c r="F78" s="66" t="s">
        <v>377</v>
      </c>
    </row>
    <row r="79" spans="1:19" ht="15.75" x14ac:dyDescent="0.2">
      <c r="A79" s="78">
        <v>1057</v>
      </c>
      <c r="B79" s="85" t="s">
        <v>43</v>
      </c>
      <c r="C79" s="86">
        <v>1282369691</v>
      </c>
      <c r="D79" s="80">
        <v>45692</v>
      </c>
      <c r="E79" s="80" t="s">
        <v>41</v>
      </c>
      <c r="F79" s="66" t="s">
        <v>380</v>
      </c>
    </row>
    <row r="80" spans="1:19" ht="15.75" x14ac:dyDescent="0.2">
      <c r="A80" s="78">
        <v>1058</v>
      </c>
      <c r="B80" s="85" t="s">
        <v>44</v>
      </c>
      <c r="C80" s="86">
        <v>1030067172</v>
      </c>
      <c r="D80" s="80">
        <v>45692</v>
      </c>
      <c r="E80" s="80" t="s">
        <v>41</v>
      </c>
      <c r="F80" s="66" t="s">
        <v>375</v>
      </c>
    </row>
    <row r="81" spans="1:6" ht="15.75" x14ac:dyDescent="0.2">
      <c r="A81" s="78">
        <v>1160</v>
      </c>
      <c r="B81" s="85" t="s">
        <v>45</v>
      </c>
      <c r="C81" s="86">
        <v>1550345637</v>
      </c>
      <c r="D81" s="80">
        <v>45823</v>
      </c>
      <c r="E81" s="80" t="s">
        <v>41</v>
      </c>
      <c r="F81" s="66" t="s">
        <v>377</v>
      </c>
    </row>
    <row r="82" spans="1:6" ht="15.75" x14ac:dyDescent="0.2">
      <c r="A82" s="78">
        <v>1159</v>
      </c>
      <c r="B82" s="85" t="s">
        <v>46</v>
      </c>
      <c r="C82" s="86">
        <v>1060701093</v>
      </c>
      <c r="D82" s="80">
        <v>45823</v>
      </c>
      <c r="E82" s="80" t="s">
        <v>41</v>
      </c>
      <c r="F82" s="66" t="s">
        <v>375</v>
      </c>
    </row>
    <row r="83" spans="1:6" ht="15.75" x14ac:dyDescent="0.2">
      <c r="A83" s="78">
        <v>1165</v>
      </c>
      <c r="B83" s="85" t="s">
        <v>47</v>
      </c>
      <c r="C83" s="86">
        <v>1023843384</v>
      </c>
      <c r="D83" s="80">
        <v>45823</v>
      </c>
      <c r="E83" s="80" t="s">
        <v>41</v>
      </c>
      <c r="F83" s="66" t="s">
        <v>376</v>
      </c>
    </row>
    <row r="84" spans="1:6" ht="15.75" x14ac:dyDescent="0.2">
      <c r="A84" s="78">
        <v>1166</v>
      </c>
      <c r="B84" s="85" t="s">
        <v>48</v>
      </c>
      <c r="C84" s="86">
        <v>1098246290</v>
      </c>
      <c r="D84" s="80">
        <v>45823</v>
      </c>
      <c r="E84" s="80" t="s">
        <v>41</v>
      </c>
      <c r="F84" s="66" t="s">
        <v>380</v>
      </c>
    </row>
    <row r="85" spans="1:6" ht="15.75" x14ac:dyDescent="0.2">
      <c r="A85" s="78">
        <v>1164</v>
      </c>
      <c r="B85" s="85" t="s">
        <v>49</v>
      </c>
      <c r="C85" s="86">
        <v>1284474913</v>
      </c>
      <c r="D85" s="80">
        <v>45823</v>
      </c>
      <c r="E85" s="80" t="s">
        <v>41</v>
      </c>
      <c r="F85" s="66" t="s">
        <v>380</v>
      </c>
    </row>
    <row r="86" spans="1:6" ht="15.75" x14ac:dyDescent="0.2">
      <c r="A86" s="78">
        <v>1072</v>
      </c>
      <c r="B86" s="85" t="s">
        <v>50</v>
      </c>
      <c r="C86" s="86">
        <v>1097242466</v>
      </c>
      <c r="D86" s="80">
        <v>45717</v>
      </c>
      <c r="E86" s="80" t="s">
        <v>51</v>
      </c>
      <c r="F86" s="66" t="s">
        <v>376</v>
      </c>
    </row>
    <row r="87" spans="1:6" ht="15.75" x14ac:dyDescent="0.2">
      <c r="A87" s="78">
        <v>1074</v>
      </c>
      <c r="B87" s="85" t="s">
        <v>52</v>
      </c>
      <c r="C87" s="86">
        <v>1095539096</v>
      </c>
      <c r="D87" s="80">
        <v>45717</v>
      </c>
      <c r="E87" s="80" t="s">
        <v>51</v>
      </c>
      <c r="F87" s="66" t="s">
        <v>376</v>
      </c>
    </row>
    <row r="88" spans="1:6" ht="15.75" x14ac:dyDescent="0.2">
      <c r="A88" s="78">
        <v>1075</v>
      </c>
      <c r="B88" s="85" t="s">
        <v>53</v>
      </c>
      <c r="C88" s="86">
        <v>1012506337</v>
      </c>
      <c r="D88" s="80">
        <v>45717</v>
      </c>
      <c r="E88" s="80" t="s">
        <v>51</v>
      </c>
      <c r="F88" s="66" t="s">
        <v>377</v>
      </c>
    </row>
    <row r="89" spans="1:6" ht="15.75" x14ac:dyDescent="0.2">
      <c r="A89" s="78">
        <v>1076</v>
      </c>
      <c r="B89" s="85" t="s">
        <v>54</v>
      </c>
      <c r="C89" s="86">
        <v>1287209807</v>
      </c>
      <c r="D89" s="80">
        <v>45717</v>
      </c>
      <c r="E89" s="80" t="s">
        <v>51</v>
      </c>
      <c r="F89" s="66" t="s">
        <v>377</v>
      </c>
    </row>
    <row r="90" spans="1:6" ht="15.75" x14ac:dyDescent="0.2">
      <c r="A90" s="78">
        <v>1077</v>
      </c>
      <c r="B90" s="85" t="s">
        <v>55</v>
      </c>
      <c r="C90" s="86">
        <v>1018959195</v>
      </c>
      <c r="D90" s="80">
        <v>45717</v>
      </c>
      <c r="E90" s="80" t="s">
        <v>51</v>
      </c>
      <c r="F90" s="66" t="s">
        <v>375</v>
      </c>
    </row>
    <row r="91" spans="1:6" ht="15.75" x14ac:dyDescent="0.2">
      <c r="A91" s="78">
        <v>1078</v>
      </c>
      <c r="B91" s="85" t="s">
        <v>56</v>
      </c>
      <c r="C91" s="86">
        <v>1011876853</v>
      </c>
      <c r="D91" s="80">
        <v>45717</v>
      </c>
      <c r="E91" s="80" t="s">
        <v>51</v>
      </c>
      <c r="F91" s="66" t="s">
        <v>380</v>
      </c>
    </row>
    <row r="92" spans="1:6" ht="15.75" x14ac:dyDescent="0.2">
      <c r="A92" s="78">
        <v>1079</v>
      </c>
      <c r="B92" s="85" t="s">
        <v>57</v>
      </c>
      <c r="C92" s="86">
        <v>1002285133</v>
      </c>
      <c r="D92" s="80">
        <v>45717</v>
      </c>
      <c r="E92" s="80" t="s">
        <v>51</v>
      </c>
      <c r="F92" s="66" t="s">
        <v>375</v>
      </c>
    </row>
    <row r="93" spans="1:6" ht="15.75" x14ac:dyDescent="0.2">
      <c r="A93" s="78">
        <v>1182</v>
      </c>
      <c r="B93" s="85" t="s">
        <v>58</v>
      </c>
      <c r="C93" s="86">
        <v>1015912208</v>
      </c>
      <c r="D93" s="80">
        <v>45839</v>
      </c>
      <c r="E93" s="80" t="s">
        <v>51</v>
      </c>
      <c r="F93" s="66" t="s">
        <v>380</v>
      </c>
    </row>
    <row r="94" spans="1:6" ht="15.75" x14ac:dyDescent="0.2">
      <c r="A94" s="78">
        <v>1203</v>
      </c>
      <c r="B94" s="85" t="s">
        <v>59</v>
      </c>
      <c r="C94" s="86">
        <v>1032003514</v>
      </c>
      <c r="D94" s="80">
        <v>45872</v>
      </c>
      <c r="E94" s="80" t="s">
        <v>51</v>
      </c>
      <c r="F94" s="66" t="s">
        <v>376</v>
      </c>
    </row>
    <row r="95" spans="1:6" ht="15.75" x14ac:dyDescent="0.2">
      <c r="A95" s="78">
        <v>1195</v>
      </c>
      <c r="B95" s="85" t="s">
        <v>60</v>
      </c>
      <c r="C95" s="86">
        <v>1032897341</v>
      </c>
      <c r="D95" s="80">
        <v>45872</v>
      </c>
      <c r="E95" s="80" t="s">
        <v>51</v>
      </c>
      <c r="F95" s="66" t="s">
        <v>376</v>
      </c>
    </row>
    <row r="96" spans="1:6" ht="15.75" x14ac:dyDescent="0.2">
      <c r="A96" s="78">
        <v>1202</v>
      </c>
      <c r="B96" s="85" t="s">
        <v>61</v>
      </c>
      <c r="C96" s="86">
        <v>1069633698</v>
      </c>
      <c r="D96" s="80">
        <v>45872</v>
      </c>
      <c r="E96" s="80" t="s">
        <v>51</v>
      </c>
      <c r="F96" s="66" t="s">
        <v>375</v>
      </c>
    </row>
    <row r="97" spans="1:6" ht="15.75" x14ac:dyDescent="0.2">
      <c r="A97" s="78">
        <v>1196</v>
      </c>
      <c r="B97" s="85" t="s">
        <v>62</v>
      </c>
      <c r="C97" s="86">
        <v>1014872718</v>
      </c>
      <c r="D97" s="80">
        <v>45872</v>
      </c>
      <c r="E97" s="80" t="s">
        <v>51</v>
      </c>
      <c r="F97" s="66" t="s">
        <v>375</v>
      </c>
    </row>
    <row r="98" spans="1:6" ht="15.75" x14ac:dyDescent="0.2">
      <c r="A98" s="78">
        <v>1201</v>
      </c>
      <c r="B98" s="85" t="s">
        <v>63</v>
      </c>
      <c r="C98" s="86">
        <v>1063030657</v>
      </c>
      <c r="D98" s="80">
        <v>45872</v>
      </c>
      <c r="E98" s="80" t="s">
        <v>51</v>
      </c>
      <c r="F98" s="66" t="s">
        <v>377</v>
      </c>
    </row>
    <row r="99" spans="1:6" ht="15.75" x14ac:dyDescent="0.2">
      <c r="A99" s="78">
        <v>1210</v>
      </c>
      <c r="B99" s="85" t="s">
        <v>64</v>
      </c>
      <c r="C99" s="78">
        <v>1208390424</v>
      </c>
      <c r="D99" s="80">
        <v>45874</v>
      </c>
      <c r="E99" s="80" t="s">
        <v>41</v>
      </c>
      <c r="F99" s="66" t="s">
        <v>376</v>
      </c>
    </row>
    <row r="100" spans="1:6" ht="15.75" x14ac:dyDescent="0.2">
      <c r="A100" s="78">
        <v>1211</v>
      </c>
      <c r="B100" s="85" t="s">
        <v>65</v>
      </c>
      <c r="C100" s="86">
        <v>1020308340</v>
      </c>
      <c r="D100" s="80">
        <v>45875</v>
      </c>
      <c r="E100" s="80" t="s">
        <v>51</v>
      </c>
      <c r="F100" s="66" t="s">
        <v>377</v>
      </c>
    </row>
    <row r="101" spans="1:6" ht="15.75" x14ac:dyDescent="0.2">
      <c r="A101" s="78">
        <v>1213</v>
      </c>
      <c r="B101" s="85" t="s">
        <v>66</v>
      </c>
      <c r="C101" s="86">
        <v>1010789247</v>
      </c>
      <c r="D101" s="80">
        <v>45879</v>
      </c>
      <c r="E101" s="80" t="s">
        <v>51</v>
      </c>
      <c r="F101" s="66" t="s">
        <v>380</v>
      </c>
    </row>
    <row r="102" spans="1:6" ht="15.75" x14ac:dyDescent="0.2">
      <c r="A102" s="78">
        <v>1217</v>
      </c>
      <c r="B102" s="85" t="s">
        <v>67</v>
      </c>
      <c r="C102" s="86">
        <v>1004505670</v>
      </c>
      <c r="D102" s="80">
        <v>45879</v>
      </c>
      <c r="E102" s="80" t="s">
        <v>51</v>
      </c>
      <c r="F102" s="66" t="s">
        <v>380</v>
      </c>
    </row>
    <row r="103" spans="1:6" ht="15.75" x14ac:dyDescent="0.2">
      <c r="A103" s="78">
        <v>1219</v>
      </c>
      <c r="B103" s="85" t="s">
        <v>68</v>
      </c>
      <c r="C103" s="86">
        <v>1204515628</v>
      </c>
      <c r="D103" s="80">
        <v>45882</v>
      </c>
      <c r="E103" s="80" t="s">
        <v>41</v>
      </c>
      <c r="F103" s="66" t="s">
        <v>380</v>
      </c>
    </row>
    <row r="104" spans="1:6" ht="15.75" x14ac:dyDescent="0.2">
      <c r="A104" s="78">
        <v>1263</v>
      </c>
      <c r="B104" s="85" t="s">
        <v>69</v>
      </c>
      <c r="C104" s="86">
        <v>1212070895</v>
      </c>
      <c r="D104" s="80">
        <v>45915</v>
      </c>
      <c r="E104" s="80" t="s">
        <v>41</v>
      </c>
      <c r="F104" s="66" t="s">
        <v>375</v>
      </c>
    </row>
    <row r="105" spans="1:6" ht="15.75" x14ac:dyDescent="0.2">
      <c r="A105" s="78">
        <v>1273</v>
      </c>
      <c r="B105" s="85" t="s">
        <v>70</v>
      </c>
      <c r="C105" s="86">
        <v>1015812638</v>
      </c>
      <c r="D105" s="80">
        <v>45923</v>
      </c>
      <c r="E105" s="80" t="s">
        <v>51</v>
      </c>
      <c r="F105" s="66" t="s">
        <v>375</v>
      </c>
    </row>
    <row r="106" spans="1:6" ht="15.75" x14ac:dyDescent="0.2">
      <c r="A106" s="78">
        <v>1277</v>
      </c>
      <c r="B106" s="85" t="s">
        <v>71</v>
      </c>
      <c r="C106" s="86">
        <v>1014005798</v>
      </c>
      <c r="D106" s="80">
        <v>45923</v>
      </c>
      <c r="E106" s="80" t="s">
        <v>51</v>
      </c>
      <c r="F106" s="66" t="s">
        <v>375</v>
      </c>
    </row>
    <row r="107" spans="1:6" ht="15.75" x14ac:dyDescent="0.2">
      <c r="A107" s="78">
        <v>1290</v>
      </c>
      <c r="B107" s="85" t="s">
        <v>72</v>
      </c>
      <c r="C107" s="86">
        <v>1061747283</v>
      </c>
      <c r="D107" s="80">
        <v>45923</v>
      </c>
      <c r="E107" s="80" t="s">
        <v>51</v>
      </c>
      <c r="F107" s="66" t="s">
        <v>376</v>
      </c>
    </row>
    <row r="108" spans="1:6" ht="15.75" x14ac:dyDescent="0.2">
      <c r="A108" s="78">
        <v>1279</v>
      </c>
      <c r="B108" s="85" t="s">
        <v>73</v>
      </c>
      <c r="C108" s="86">
        <v>1206163705</v>
      </c>
      <c r="D108" s="80">
        <v>45923</v>
      </c>
      <c r="E108" s="80" t="s">
        <v>51</v>
      </c>
      <c r="F108" s="66" t="s">
        <v>376</v>
      </c>
    </row>
    <row r="109" spans="1:6" ht="15.75" x14ac:dyDescent="0.2">
      <c r="A109" s="78">
        <v>1285</v>
      </c>
      <c r="B109" s="85" t="s">
        <v>74</v>
      </c>
      <c r="C109" s="86">
        <v>1015248225</v>
      </c>
      <c r="D109" s="80">
        <v>45923</v>
      </c>
      <c r="E109" s="80" t="s">
        <v>51</v>
      </c>
      <c r="F109" s="66" t="s">
        <v>377</v>
      </c>
    </row>
    <row r="110" spans="1:6" ht="15.75" x14ac:dyDescent="0.2">
      <c r="A110" s="78">
        <v>1282</v>
      </c>
      <c r="B110" s="85" t="s">
        <v>75</v>
      </c>
      <c r="C110" s="86">
        <v>1062459233</v>
      </c>
      <c r="D110" s="80">
        <v>45923</v>
      </c>
      <c r="E110" s="80" t="s">
        <v>51</v>
      </c>
      <c r="F110" s="66" t="s">
        <v>377</v>
      </c>
    </row>
    <row r="111" spans="1:6" ht="15.75" x14ac:dyDescent="0.2">
      <c r="A111" s="78">
        <v>1276</v>
      </c>
      <c r="B111" s="85" t="s">
        <v>76</v>
      </c>
      <c r="C111" s="86">
        <v>1009602949</v>
      </c>
      <c r="D111" s="80">
        <v>45923</v>
      </c>
      <c r="E111" s="80" t="s">
        <v>51</v>
      </c>
      <c r="F111" s="66" t="s">
        <v>380</v>
      </c>
    </row>
    <row r="112" spans="1:6" ht="15.75" x14ac:dyDescent="0.2">
      <c r="A112" s="78">
        <v>1329</v>
      </c>
      <c r="B112" s="85" t="s">
        <v>77</v>
      </c>
      <c r="C112" s="86">
        <v>1272312021</v>
      </c>
      <c r="D112" s="80">
        <v>45931</v>
      </c>
      <c r="E112" s="80" t="s">
        <v>41</v>
      </c>
      <c r="F112" s="66" t="s">
        <v>375</v>
      </c>
    </row>
    <row r="113" spans="1:6" ht="15.75" x14ac:dyDescent="0.2">
      <c r="A113" s="78">
        <v>1328</v>
      </c>
      <c r="B113" s="85" t="s">
        <v>78</v>
      </c>
      <c r="C113" s="86">
        <v>1204119669</v>
      </c>
      <c r="D113" s="80">
        <v>45931</v>
      </c>
      <c r="E113" s="80" t="s">
        <v>41</v>
      </c>
      <c r="F113" s="66" t="s">
        <v>380</v>
      </c>
    </row>
    <row r="114" spans="1:6" ht="15.75" x14ac:dyDescent="0.2">
      <c r="A114" s="78">
        <v>1331</v>
      </c>
      <c r="B114" s="85" t="s">
        <v>79</v>
      </c>
      <c r="C114" s="86">
        <v>1200454547</v>
      </c>
      <c r="D114" s="80">
        <v>45931</v>
      </c>
      <c r="E114" s="80" t="s">
        <v>41</v>
      </c>
      <c r="F114" s="66" t="s">
        <v>377</v>
      </c>
    </row>
    <row r="115" spans="1:6" ht="15.75" x14ac:dyDescent="0.2">
      <c r="A115" s="78">
        <v>1330</v>
      </c>
      <c r="B115" s="85" t="s">
        <v>80</v>
      </c>
      <c r="C115" s="86">
        <v>1200149209</v>
      </c>
      <c r="D115" s="80">
        <v>45931</v>
      </c>
      <c r="E115" s="80" t="s">
        <v>41</v>
      </c>
      <c r="F115" s="66" t="s">
        <v>376</v>
      </c>
    </row>
    <row r="116" spans="1:6" ht="15.75" x14ac:dyDescent="0.2">
      <c r="A116" s="78">
        <v>1387</v>
      </c>
      <c r="B116" s="85" t="s">
        <v>81</v>
      </c>
      <c r="C116" s="86">
        <v>1222236145</v>
      </c>
      <c r="D116" s="80">
        <v>45963</v>
      </c>
      <c r="E116" s="80" t="s">
        <v>41</v>
      </c>
      <c r="F116" s="66" t="s">
        <v>377</v>
      </c>
    </row>
    <row r="117" spans="1:6" ht="15.75" x14ac:dyDescent="0.2">
      <c r="A117" s="78">
        <v>1388</v>
      </c>
      <c r="B117" s="85" t="s">
        <v>82</v>
      </c>
      <c r="C117" s="86">
        <v>1026289694</v>
      </c>
      <c r="D117" s="80">
        <v>45963</v>
      </c>
      <c r="E117" s="80" t="s">
        <v>41</v>
      </c>
      <c r="F117" s="66" t="s">
        <v>376</v>
      </c>
    </row>
    <row r="118" spans="1:6" ht="15.75" x14ac:dyDescent="0.2">
      <c r="A118" s="91">
        <v>1490</v>
      </c>
      <c r="B118" s="92" t="s">
        <v>327</v>
      </c>
      <c r="C118" s="93">
        <v>1008468221</v>
      </c>
      <c r="D118" s="94">
        <v>46096</v>
      </c>
      <c r="E118" s="94" t="s">
        <v>51</v>
      </c>
      <c r="F118" s="66" t="s">
        <v>380</v>
      </c>
    </row>
    <row r="119" spans="1:6" ht="15.75" x14ac:dyDescent="0.2">
      <c r="A119" s="91">
        <v>1491</v>
      </c>
      <c r="B119" s="92" t="s">
        <v>328</v>
      </c>
      <c r="C119" s="93">
        <v>1003676068</v>
      </c>
      <c r="D119" s="94">
        <v>46096</v>
      </c>
      <c r="E119" s="94" t="s">
        <v>51</v>
      </c>
      <c r="F119" s="66" t="s">
        <v>377</v>
      </c>
    </row>
    <row r="120" spans="1:6" ht="15.75" x14ac:dyDescent="0.2">
      <c r="A120" s="91">
        <v>1492</v>
      </c>
      <c r="B120" s="92" t="s">
        <v>329</v>
      </c>
      <c r="C120" s="93">
        <v>1016662732</v>
      </c>
      <c r="D120" s="94">
        <v>46096</v>
      </c>
      <c r="E120" s="94" t="s">
        <v>51</v>
      </c>
      <c r="F120" s="66" t="s">
        <v>376</v>
      </c>
    </row>
    <row r="121" spans="1:6" ht="15.75" x14ac:dyDescent="0.2">
      <c r="A121" s="91">
        <v>1493</v>
      </c>
      <c r="B121" s="92" t="s">
        <v>330</v>
      </c>
      <c r="C121" s="93">
        <v>1069659369</v>
      </c>
      <c r="D121" s="94">
        <v>46096</v>
      </c>
      <c r="E121" s="94" t="s">
        <v>51</v>
      </c>
      <c r="F121" s="66" t="s">
        <v>380</v>
      </c>
    </row>
    <row r="122" spans="1:6" ht="15.75" x14ac:dyDescent="0.2">
      <c r="A122" s="91">
        <v>1507</v>
      </c>
      <c r="B122" s="92" t="s">
        <v>340</v>
      </c>
      <c r="C122" s="93">
        <v>1002795598</v>
      </c>
      <c r="D122" s="94">
        <v>46096</v>
      </c>
      <c r="E122" s="94" t="s">
        <v>51</v>
      </c>
      <c r="F122" s="66" t="s">
        <v>375</v>
      </c>
    </row>
    <row r="123" spans="1:6" ht="15.75" x14ac:dyDescent="0.2">
      <c r="A123" s="78">
        <v>1508</v>
      </c>
      <c r="B123" s="85" t="s">
        <v>341</v>
      </c>
      <c r="C123" s="86">
        <v>1028961605</v>
      </c>
      <c r="D123" s="80">
        <v>46096</v>
      </c>
      <c r="E123" s="80" t="s">
        <v>51</v>
      </c>
      <c r="F123" s="66" t="s">
        <v>376</v>
      </c>
    </row>
    <row r="124" spans="1:6" ht="15.75" x14ac:dyDescent="0.2">
      <c r="A124" s="78">
        <v>1532</v>
      </c>
      <c r="B124" s="85" t="s">
        <v>368</v>
      </c>
      <c r="C124" s="86">
        <v>1124406758</v>
      </c>
      <c r="D124" s="80" t="s">
        <v>349</v>
      </c>
      <c r="E124" s="80" t="s">
        <v>51</v>
      </c>
      <c r="F124" s="66" t="s">
        <v>375</v>
      </c>
    </row>
    <row r="125" spans="1:6" ht="15.75" x14ac:dyDescent="0.2">
      <c r="A125" s="81">
        <v>1544</v>
      </c>
      <c r="B125" s="82" t="s">
        <v>392</v>
      </c>
      <c r="C125" s="83">
        <v>1004858017</v>
      </c>
      <c r="D125" s="84">
        <v>46114</v>
      </c>
      <c r="E125" s="84" t="s">
        <v>51</v>
      </c>
      <c r="F125" s="66" t="s">
        <v>377</v>
      </c>
    </row>
    <row r="126" spans="1:6" ht="15.75" x14ac:dyDescent="0.2">
      <c r="A126" s="78">
        <v>1546</v>
      </c>
      <c r="B126" s="85" t="s">
        <v>396</v>
      </c>
      <c r="C126" s="86">
        <v>1110410573</v>
      </c>
      <c r="D126" s="80">
        <v>46132</v>
      </c>
      <c r="E126" s="80" t="s">
        <v>51</v>
      </c>
      <c r="F126" s="66" t="s">
        <v>375</v>
      </c>
    </row>
    <row r="127" spans="1:6" ht="15.75" x14ac:dyDescent="0.2">
      <c r="A127" s="121" t="s">
        <v>372</v>
      </c>
      <c r="B127" s="121"/>
      <c r="C127" s="121"/>
      <c r="D127" s="121"/>
      <c r="E127" s="121"/>
      <c r="F127" s="121"/>
    </row>
    <row r="128" spans="1:6" ht="15.75" x14ac:dyDescent="0.2">
      <c r="A128" s="76" t="s">
        <v>290</v>
      </c>
      <c r="B128" s="76" t="s">
        <v>291</v>
      </c>
      <c r="C128" s="76" t="s">
        <v>292</v>
      </c>
      <c r="D128" s="77" t="s">
        <v>293</v>
      </c>
      <c r="E128" s="77" t="s">
        <v>294</v>
      </c>
      <c r="F128" s="66" t="s">
        <v>378</v>
      </c>
    </row>
    <row r="129" spans="1:6" ht="15.75" x14ac:dyDescent="0.2">
      <c r="A129" s="78">
        <v>1172</v>
      </c>
      <c r="B129" s="79" t="s">
        <v>84</v>
      </c>
      <c r="C129" s="86">
        <v>1003454989</v>
      </c>
      <c r="D129" s="80">
        <v>45839</v>
      </c>
      <c r="E129" s="80" t="s">
        <v>85</v>
      </c>
      <c r="F129" s="66" t="s">
        <v>376</v>
      </c>
    </row>
    <row r="130" spans="1:6" ht="15.75" x14ac:dyDescent="0.2">
      <c r="A130" s="78">
        <v>1134</v>
      </c>
      <c r="B130" s="85" t="s">
        <v>86</v>
      </c>
      <c r="C130" s="86">
        <v>1225931803</v>
      </c>
      <c r="D130" s="80">
        <v>45809</v>
      </c>
      <c r="E130" s="80" t="s">
        <v>85</v>
      </c>
      <c r="F130" s="66" t="s">
        <v>375</v>
      </c>
    </row>
    <row r="131" spans="1:6" ht="15.75" x14ac:dyDescent="0.2">
      <c r="A131" s="78">
        <v>1143</v>
      </c>
      <c r="B131" s="85" t="s">
        <v>87</v>
      </c>
      <c r="C131" s="86">
        <v>1102407962</v>
      </c>
      <c r="D131" s="80">
        <v>45809</v>
      </c>
      <c r="E131" s="80" t="s">
        <v>85</v>
      </c>
      <c r="F131" s="66" t="s">
        <v>375</v>
      </c>
    </row>
    <row r="132" spans="1:6" ht="15.75" x14ac:dyDescent="0.2">
      <c r="A132" s="78">
        <v>1170</v>
      </c>
      <c r="B132" s="85" t="s">
        <v>88</v>
      </c>
      <c r="C132" s="86">
        <v>1024006844</v>
      </c>
      <c r="D132" s="80">
        <v>45809</v>
      </c>
      <c r="E132" s="80" t="s">
        <v>85</v>
      </c>
      <c r="F132" s="66" t="s">
        <v>376</v>
      </c>
    </row>
    <row r="133" spans="1:6" ht="15.75" x14ac:dyDescent="0.2">
      <c r="A133" s="78">
        <v>1110</v>
      </c>
      <c r="B133" s="85" t="s">
        <v>89</v>
      </c>
      <c r="C133" s="86">
        <v>1229279915</v>
      </c>
      <c r="D133" s="80">
        <v>45809</v>
      </c>
      <c r="E133" s="80" t="s">
        <v>85</v>
      </c>
      <c r="F133" s="66" t="s">
        <v>376</v>
      </c>
    </row>
    <row r="134" spans="1:6" ht="15.75" x14ac:dyDescent="0.2">
      <c r="A134" s="78">
        <v>1144</v>
      </c>
      <c r="B134" s="85" t="s">
        <v>90</v>
      </c>
      <c r="C134" s="86">
        <v>1276105543</v>
      </c>
      <c r="D134" s="80">
        <v>45809</v>
      </c>
      <c r="E134" s="80" t="s">
        <v>85</v>
      </c>
      <c r="F134" s="66" t="s">
        <v>377</v>
      </c>
    </row>
    <row r="135" spans="1:6" ht="15.75" x14ac:dyDescent="0.2">
      <c r="A135" s="78">
        <v>1148</v>
      </c>
      <c r="B135" s="85" t="s">
        <v>91</v>
      </c>
      <c r="C135" s="86">
        <v>1205315131</v>
      </c>
      <c r="D135" s="80">
        <v>45809</v>
      </c>
      <c r="E135" s="80" t="s">
        <v>85</v>
      </c>
      <c r="F135" s="66" t="s">
        <v>380</v>
      </c>
    </row>
    <row r="136" spans="1:6" ht="15.75" x14ac:dyDescent="0.2">
      <c r="A136" s="78">
        <v>1161</v>
      </c>
      <c r="B136" s="85" t="s">
        <v>92</v>
      </c>
      <c r="C136" s="86">
        <v>1150939912</v>
      </c>
      <c r="D136" s="80">
        <v>45809</v>
      </c>
      <c r="E136" s="80" t="s">
        <v>85</v>
      </c>
      <c r="F136" s="66" t="s">
        <v>380</v>
      </c>
    </row>
    <row r="137" spans="1:6" ht="15.75" x14ac:dyDescent="0.2">
      <c r="A137" s="78">
        <v>1112</v>
      </c>
      <c r="B137" s="85" t="s">
        <v>93</v>
      </c>
      <c r="C137" s="86">
        <v>1220172436</v>
      </c>
      <c r="D137" s="80">
        <v>45809</v>
      </c>
      <c r="E137" s="80" t="s">
        <v>85</v>
      </c>
      <c r="F137" s="66" t="s">
        <v>377</v>
      </c>
    </row>
    <row r="138" spans="1:6" ht="15.75" x14ac:dyDescent="0.2">
      <c r="A138" s="78">
        <v>1113</v>
      </c>
      <c r="B138" s="85" t="s">
        <v>94</v>
      </c>
      <c r="C138" s="86">
        <v>1202415863</v>
      </c>
      <c r="D138" s="80">
        <v>45820</v>
      </c>
      <c r="E138" s="80" t="s">
        <v>85</v>
      </c>
      <c r="F138" s="66" t="s">
        <v>376</v>
      </c>
    </row>
    <row r="139" spans="1:6" ht="15.75" x14ac:dyDescent="0.2">
      <c r="A139" s="78">
        <v>1154</v>
      </c>
      <c r="B139" s="85" t="s">
        <v>95</v>
      </c>
      <c r="C139" s="86">
        <v>1278266716</v>
      </c>
      <c r="D139" s="80">
        <v>45809</v>
      </c>
      <c r="E139" s="80" t="s">
        <v>85</v>
      </c>
      <c r="F139" s="66" t="s">
        <v>380</v>
      </c>
    </row>
    <row r="140" spans="1:6" ht="15.75" x14ac:dyDescent="0.2">
      <c r="A140" s="78">
        <v>1118</v>
      </c>
      <c r="B140" s="85" t="s">
        <v>96</v>
      </c>
      <c r="C140" s="86">
        <v>1028521271</v>
      </c>
      <c r="D140" s="80">
        <v>45809</v>
      </c>
      <c r="E140" s="80" t="s">
        <v>97</v>
      </c>
      <c r="F140" s="66" t="s">
        <v>375</v>
      </c>
    </row>
    <row r="141" spans="1:6" ht="15.75" x14ac:dyDescent="0.2">
      <c r="A141" s="78">
        <v>1119</v>
      </c>
      <c r="B141" s="85" t="s">
        <v>98</v>
      </c>
      <c r="C141" s="86">
        <v>1064942882</v>
      </c>
      <c r="D141" s="80">
        <v>45809</v>
      </c>
      <c r="E141" s="80" t="s">
        <v>97</v>
      </c>
      <c r="F141" s="66" t="s">
        <v>375</v>
      </c>
    </row>
    <row r="142" spans="1:6" ht="15.75" x14ac:dyDescent="0.2">
      <c r="A142" s="78">
        <v>1114</v>
      </c>
      <c r="B142" s="85" t="s">
        <v>99</v>
      </c>
      <c r="C142" s="86">
        <v>1090142422</v>
      </c>
      <c r="D142" s="80">
        <v>45809</v>
      </c>
      <c r="E142" s="80" t="s">
        <v>97</v>
      </c>
      <c r="F142" s="66" t="s">
        <v>375</v>
      </c>
    </row>
    <row r="143" spans="1:6" ht="15.75" x14ac:dyDescent="0.2">
      <c r="A143" s="78">
        <v>1135</v>
      </c>
      <c r="B143" s="85" t="s">
        <v>100</v>
      </c>
      <c r="C143" s="86">
        <v>1010244225</v>
      </c>
      <c r="D143" s="80">
        <v>45809</v>
      </c>
      <c r="E143" s="80" t="s">
        <v>97</v>
      </c>
      <c r="F143" s="66" t="s">
        <v>375</v>
      </c>
    </row>
    <row r="144" spans="1:6" ht="15.75" x14ac:dyDescent="0.2">
      <c r="A144" s="78">
        <v>1151</v>
      </c>
      <c r="B144" s="85" t="s">
        <v>101</v>
      </c>
      <c r="C144" s="86">
        <v>1016473772</v>
      </c>
      <c r="D144" s="80">
        <v>45809</v>
      </c>
      <c r="E144" s="80" t="s">
        <v>97</v>
      </c>
      <c r="F144" s="66" t="s">
        <v>376</v>
      </c>
    </row>
    <row r="145" spans="1:6" ht="15.75" x14ac:dyDescent="0.2">
      <c r="A145" s="78">
        <v>1129</v>
      </c>
      <c r="B145" s="85" t="s">
        <v>288</v>
      </c>
      <c r="C145" s="86">
        <v>1025046148</v>
      </c>
      <c r="D145" s="80">
        <v>45809</v>
      </c>
      <c r="E145" s="80" t="s">
        <v>97</v>
      </c>
      <c r="F145" s="66" t="s">
        <v>376</v>
      </c>
    </row>
    <row r="146" spans="1:6" ht="15.75" x14ac:dyDescent="0.2">
      <c r="A146" s="78">
        <v>1141</v>
      </c>
      <c r="B146" s="85" t="s">
        <v>102</v>
      </c>
      <c r="C146" s="86">
        <v>1098101350</v>
      </c>
      <c r="D146" s="80">
        <v>45809</v>
      </c>
      <c r="E146" s="80" t="s">
        <v>97</v>
      </c>
      <c r="F146" s="66" t="s">
        <v>376</v>
      </c>
    </row>
    <row r="147" spans="1:6" ht="15.75" x14ac:dyDescent="0.2">
      <c r="A147" s="78">
        <v>1109</v>
      </c>
      <c r="B147" s="85" t="s">
        <v>103</v>
      </c>
      <c r="C147" s="86">
        <v>1274959423</v>
      </c>
      <c r="D147" s="80">
        <v>45809</v>
      </c>
      <c r="E147" s="80" t="s">
        <v>97</v>
      </c>
      <c r="F147" s="66" t="s">
        <v>376</v>
      </c>
    </row>
    <row r="148" spans="1:6" ht="15.75" x14ac:dyDescent="0.2">
      <c r="A148" s="78">
        <v>1136</v>
      </c>
      <c r="B148" s="85" t="s">
        <v>104</v>
      </c>
      <c r="C148" s="86">
        <v>1002119788</v>
      </c>
      <c r="D148" s="80">
        <v>45809</v>
      </c>
      <c r="E148" s="80" t="s">
        <v>97</v>
      </c>
      <c r="F148" s="66" t="s">
        <v>377</v>
      </c>
    </row>
    <row r="149" spans="1:6" ht="15.75" x14ac:dyDescent="0.2">
      <c r="A149" s="78">
        <v>1139</v>
      </c>
      <c r="B149" s="85" t="s">
        <v>105</v>
      </c>
      <c r="C149" s="86">
        <v>1094760129</v>
      </c>
      <c r="D149" s="80">
        <v>45809</v>
      </c>
      <c r="E149" s="80" t="s">
        <v>97</v>
      </c>
      <c r="F149" s="66" t="s">
        <v>377</v>
      </c>
    </row>
    <row r="150" spans="1:6" ht="15.75" x14ac:dyDescent="0.2">
      <c r="A150" s="78">
        <v>1152</v>
      </c>
      <c r="B150" s="85" t="s">
        <v>106</v>
      </c>
      <c r="C150" s="86">
        <v>1093517519</v>
      </c>
      <c r="D150" s="80">
        <v>45809</v>
      </c>
      <c r="E150" s="80" t="s">
        <v>97</v>
      </c>
      <c r="F150" s="66" t="s">
        <v>377</v>
      </c>
    </row>
    <row r="151" spans="1:6" ht="15.75" x14ac:dyDescent="0.2">
      <c r="A151" s="78">
        <v>1147</v>
      </c>
      <c r="B151" s="85" t="s">
        <v>107</v>
      </c>
      <c r="C151" s="86">
        <v>1066532725</v>
      </c>
      <c r="D151" s="80">
        <v>45809</v>
      </c>
      <c r="E151" s="80" t="s">
        <v>97</v>
      </c>
      <c r="F151" s="66" t="s">
        <v>380</v>
      </c>
    </row>
    <row r="152" spans="1:6" ht="15.75" x14ac:dyDescent="0.2">
      <c r="A152" s="78">
        <v>1150</v>
      </c>
      <c r="B152" s="85" t="s">
        <v>108</v>
      </c>
      <c r="C152" s="86">
        <v>1065437843</v>
      </c>
      <c r="D152" s="80">
        <v>45809</v>
      </c>
      <c r="E152" s="80" t="s">
        <v>97</v>
      </c>
      <c r="F152" s="66" t="s">
        <v>380</v>
      </c>
    </row>
    <row r="153" spans="1:6" ht="15.75" x14ac:dyDescent="0.2">
      <c r="A153" s="78">
        <v>1111</v>
      </c>
      <c r="B153" s="85" t="s">
        <v>109</v>
      </c>
      <c r="C153" s="86">
        <v>1015762713</v>
      </c>
      <c r="D153" s="80">
        <v>45818</v>
      </c>
      <c r="E153" s="80" t="s">
        <v>97</v>
      </c>
      <c r="F153" s="66" t="s">
        <v>380</v>
      </c>
    </row>
    <row r="154" spans="1:6" ht="15.75" x14ac:dyDescent="0.2">
      <c r="A154" s="78">
        <v>1130</v>
      </c>
      <c r="B154" s="85" t="s">
        <v>110</v>
      </c>
      <c r="C154" s="86">
        <v>1093703584</v>
      </c>
      <c r="D154" s="80">
        <v>45809</v>
      </c>
      <c r="E154" s="80" t="s">
        <v>97</v>
      </c>
      <c r="F154" s="66" t="s">
        <v>380</v>
      </c>
    </row>
    <row r="155" spans="1:6" ht="15.75" x14ac:dyDescent="0.2">
      <c r="A155" s="78">
        <v>1188</v>
      </c>
      <c r="B155" s="85" t="s">
        <v>111</v>
      </c>
      <c r="C155" s="86">
        <v>1015821396</v>
      </c>
      <c r="D155" s="80">
        <v>45853</v>
      </c>
      <c r="E155" s="80" t="s">
        <v>97</v>
      </c>
      <c r="F155" s="66" t="s">
        <v>377</v>
      </c>
    </row>
    <row r="156" spans="1:6" ht="19.5" customHeight="1" x14ac:dyDescent="0.2">
      <c r="A156" s="78">
        <v>1191</v>
      </c>
      <c r="B156" s="85" t="s">
        <v>112</v>
      </c>
      <c r="C156" s="86">
        <v>1070606601</v>
      </c>
      <c r="D156" s="80">
        <v>45859</v>
      </c>
      <c r="E156" s="80" t="s">
        <v>85</v>
      </c>
      <c r="F156" s="66" t="s">
        <v>380</v>
      </c>
    </row>
    <row r="157" spans="1:6" ht="19.5" customHeight="1" x14ac:dyDescent="0.2">
      <c r="A157" s="78">
        <v>1227</v>
      </c>
      <c r="B157" s="85" t="s">
        <v>113</v>
      </c>
      <c r="C157" s="86">
        <v>1273594086</v>
      </c>
      <c r="D157" s="80">
        <v>45893</v>
      </c>
      <c r="E157" s="80" t="s">
        <v>85</v>
      </c>
      <c r="F157" s="66" t="s">
        <v>377</v>
      </c>
    </row>
    <row r="158" spans="1:6" ht="19.5" customHeight="1" x14ac:dyDescent="0.2">
      <c r="A158" s="78">
        <v>1229</v>
      </c>
      <c r="B158" s="85" t="s">
        <v>114</v>
      </c>
      <c r="C158" s="86" t="s">
        <v>297</v>
      </c>
      <c r="D158" s="80">
        <v>45893</v>
      </c>
      <c r="E158" s="80" t="s">
        <v>85</v>
      </c>
      <c r="F158" s="66" t="s">
        <v>375</v>
      </c>
    </row>
    <row r="159" spans="1:6" ht="19.5" customHeight="1" x14ac:dyDescent="0.2">
      <c r="A159" s="78">
        <v>1231</v>
      </c>
      <c r="B159" s="85" t="s">
        <v>115</v>
      </c>
      <c r="C159" s="86">
        <v>1276479738</v>
      </c>
      <c r="D159" s="80">
        <v>45893</v>
      </c>
      <c r="E159" s="80" t="s">
        <v>85</v>
      </c>
      <c r="F159" s="66" t="s">
        <v>375</v>
      </c>
    </row>
    <row r="160" spans="1:6" ht="19.5" customHeight="1" x14ac:dyDescent="0.2">
      <c r="A160" s="78">
        <v>1225</v>
      </c>
      <c r="B160" s="85" t="s">
        <v>116</v>
      </c>
      <c r="C160" s="86">
        <v>1211889902</v>
      </c>
      <c r="D160" s="80">
        <v>45893</v>
      </c>
      <c r="E160" s="80" t="s">
        <v>85</v>
      </c>
      <c r="F160" s="66" t="s">
        <v>376</v>
      </c>
    </row>
    <row r="161" spans="1:6" ht="19.5" customHeight="1" x14ac:dyDescent="0.2">
      <c r="A161" s="78">
        <v>1228</v>
      </c>
      <c r="B161" s="85" t="s">
        <v>117</v>
      </c>
      <c r="C161" s="86">
        <v>1201067679</v>
      </c>
      <c r="D161" s="80">
        <v>45893</v>
      </c>
      <c r="E161" s="80" t="s">
        <v>85</v>
      </c>
      <c r="F161" s="66" t="s">
        <v>376</v>
      </c>
    </row>
    <row r="162" spans="1:6" ht="19.5" customHeight="1" x14ac:dyDescent="0.2">
      <c r="A162" s="78">
        <v>1226</v>
      </c>
      <c r="B162" s="85" t="s">
        <v>118</v>
      </c>
      <c r="C162" s="86">
        <v>1225309592</v>
      </c>
      <c r="D162" s="80">
        <v>45893</v>
      </c>
      <c r="E162" s="80" t="s">
        <v>85</v>
      </c>
      <c r="F162" s="66" t="s">
        <v>377</v>
      </c>
    </row>
    <row r="163" spans="1:6" ht="19.5" customHeight="1" x14ac:dyDescent="0.2">
      <c r="A163" s="78">
        <v>1232</v>
      </c>
      <c r="B163" s="85" t="s">
        <v>119</v>
      </c>
      <c r="C163" s="86">
        <v>1280406597</v>
      </c>
      <c r="D163" s="80">
        <v>45897</v>
      </c>
      <c r="E163" s="80" t="s">
        <v>85</v>
      </c>
      <c r="F163" s="66" t="s">
        <v>375</v>
      </c>
    </row>
    <row r="164" spans="1:6" ht="19.5" customHeight="1" x14ac:dyDescent="0.2">
      <c r="A164" s="78">
        <v>1233</v>
      </c>
      <c r="B164" s="85" t="s">
        <v>120</v>
      </c>
      <c r="C164" s="86">
        <v>1277993107</v>
      </c>
      <c r="D164" s="80">
        <v>45897</v>
      </c>
      <c r="E164" s="80" t="s">
        <v>85</v>
      </c>
      <c r="F164" s="66" t="s">
        <v>380</v>
      </c>
    </row>
    <row r="165" spans="1:6" ht="19.5" customHeight="1" x14ac:dyDescent="0.2">
      <c r="A165" s="78">
        <v>1238</v>
      </c>
      <c r="B165" s="85" t="s">
        <v>121</v>
      </c>
      <c r="C165" s="86">
        <v>1023584129</v>
      </c>
      <c r="D165" s="80">
        <v>45901</v>
      </c>
      <c r="E165" s="80" t="s">
        <v>97</v>
      </c>
      <c r="F165" s="66" t="s">
        <v>375</v>
      </c>
    </row>
    <row r="166" spans="1:6" ht="19.5" customHeight="1" x14ac:dyDescent="0.2">
      <c r="A166" s="78">
        <v>1243</v>
      </c>
      <c r="B166" s="85" t="s">
        <v>122</v>
      </c>
      <c r="C166" s="86" t="s">
        <v>300</v>
      </c>
      <c r="D166" s="80">
        <v>45901</v>
      </c>
      <c r="E166" s="80" t="s">
        <v>97</v>
      </c>
      <c r="F166" s="66" t="s">
        <v>375</v>
      </c>
    </row>
    <row r="167" spans="1:6" ht="19.5" customHeight="1" x14ac:dyDescent="0.2">
      <c r="A167" s="78">
        <v>1251</v>
      </c>
      <c r="B167" s="85" t="s">
        <v>123</v>
      </c>
      <c r="C167" s="86">
        <v>1012562977</v>
      </c>
      <c r="D167" s="80">
        <v>45901</v>
      </c>
      <c r="E167" s="80" t="s">
        <v>97</v>
      </c>
      <c r="F167" s="66" t="s">
        <v>375</v>
      </c>
    </row>
    <row r="168" spans="1:6" ht="19.5" customHeight="1" x14ac:dyDescent="0.2">
      <c r="A168" s="78">
        <v>1240</v>
      </c>
      <c r="B168" s="85" t="s">
        <v>124</v>
      </c>
      <c r="C168" s="86">
        <v>1026664298</v>
      </c>
      <c r="D168" s="80">
        <v>45901</v>
      </c>
      <c r="E168" s="80" t="s">
        <v>97</v>
      </c>
      <c r="F168" s="66" t="s">
        <v>375</v>
      </c>
    </row>
    <row r="169" spans="1:6" ht="19.5" customHeight="1" x14ac:dyDescent="0.2">
      <c r="A169" s="78">
        <v>1235</v>
      </c>
      <c r="B169" s="85" t="s">
        <v>125</v>
      </c>
      <c r="C169" s="86">
        <v>1090948201</v>
      </c>
      <c r="D169" s="80">
        <v>45901</v>
      </c>
      <c r="E169" s="80" t="s">
        <v>97</v>
      </c>
      <c r="F169" s="66" t="s">
        <v>376</v>
      </c>
    </row>
    <row r="170" spans="1:6" ht="19.5" customHeight="1" x14ac:dyDescent="0.2">
      <c r="A170" s="78">
        <v>1239</v>
      </c>
      <c r="B170" s="85" t="s">
        <v>126</v>
      </c>
      <c r="C170" s="86">
        <v>1014867758</v>
      </c>
      <c r="D170" s="80">
        <v>45901</v>
      </c>
      <c r="E170" s="80" t="s">
        <v>97</v>
      </c>
      <c r="F170" s="66" t="s">
        <v>376</v>
      </c>
    </row>
    <row r="171" spans="1:6" ht="19.5" customHeight="1" x14ac:dyDescent="0.2">
      <c r="A171" s="78">
        <v>1242</v>
      </c>
      <c r="B171" s="85" t="s">
        <v>127</v>
      </c>
      <c r="C171" s="86">
        <v>1020731997</v>
      </c>
      <c r="D171" s="80">
        <v>45901</v>
      </c>
      <c r="E171" s="80" t="s">
        <v>97</v>
      </c>
      <c r="F171" s="66" t="s">
        <v>376</v>
      </c>
    </row>
    <row r="172" spans="1:6" ht="19.5" customHeight="1" x14ac:dyDescent="0.2">
      <c r="A172" s="78">
        <v>1244</v>
      </c>
      <c r="B172" s="85" t="s">
        <v>128</v>
      </c>
      <c r="C172" s="86">
        <v>1003122268</v>
      </c>
      <c r="D172" s="80">
        <v>45901</v>
      </c>
      <c r="E172" s="80" t="s">
        <v>97</v>
      </c>
      <c r="F172" s="66" t="s">
        <v>377</v>
      </c>
    </row>
    <row r="173" spans="1:6" ht="19.5" customHeight="1" x14ac:dyDescent="0.2">
      <c r="A173" s="78">
        <v>1236</v>
      </c>
      <c r="B173" s="85" t="s">
        <v>129</v>
      </c>
      <c r="C173" s="86">
        <v>1013986591</v>
      </c>
      <c r="D173" s="80">
        <v>45901</v>
      </c>
      <c r="E173" s="80" t="s">
        <v>97</v>
      </c>
      <c r="F173" s="66" t="s">
        <v>377</v>
      </c>
    </row>
    <row r="174" spans="1:6" ht="19.5" customHeight="1" x14ac:dyDescent="0.2">
      <c r="A174" s="78">
        <v>1252</v>
      </c>
      <c r="B174" s="85" t="s">
        <v>130</v>
      </c>
      <c r="C174" s="86">
        <v>1017074328</v>
      </c>
      <c r="D174" s="80">
        <v>45901</v>
      </c>
      <c r="E174" s="80" t="s">
        <v>97</v>
      </c>
      <c r="F174" s="66" t="s">
        <v>377</v>
      </c>
    </row>
    <row r="175" spans="1:6" ht="19.5" customHeight="1" x14ac:dyDescent="0.2">
      <c r="A175" s="78">
        <v>1246</v>
      </c>
      <c r="B175" s="85" t="s">
        <v>131</v>
      </c>
      <c r="C175" s="86">
        <v>1020935606</v>
      </c>
      <c r="D175" s="80">
        <v>45901</v>
      </c>
      <c r="E175" s="80" t="s">
        <v>97</v>
      </c>
      <c r="F175" s="66" t="s">
        <v>377</v>
      </c>
    </row>
    <row r="176" spans="1:6" ht="19.5" customHeight="1" x14ac:dyDescent="0.2">
      <c r="A176" s="78">
        <v>1245</v>
      </c>
      <c r="B176" s="85" t="s">
        <v>132</v>
      </c>
      <c r="C176" s="86" t="s">
        <v>305</v>
      </c>
      <c r="D176" s="80">
        <v>45901</v>
      </c>
      <c r="E176" s="80" t="s">
        <v>97</v>
      </c>
      <c r="F176" s="66" t="s">
        <v>380</v>
      </c>
    </row>
    <row r="177" spans="1:6" ht="19.5" customHeight="1" x14ac:dyDescent="0.2">
      <c r="A177" s="78">
        <v>1237</v>
      </c>
      <c r="B177" s="85" t="s">
        <v>133</v>
      </c>
      <c r="C177" s="86">
        <v>1026981891</v>
      </c>
      <c r="D177" s="80">
        <v>45901</v>
      </c>
      <c r="E177" s="80" t="s">
        <v>97</v>
      </c>
      <c r="F177" s="66" t="s">
        <v>380</v>
      </c>
    </row>
    <row r="178" spans="1:6" ht="19.5" customHeight="1" x14ac:dyDescent="0.2">
      <c r="A178" s="78">
        <v>1257</v>
      </c>
      <c r="B178" s="85" t="s">
        <v>134</v>
      </c>
      <c r="C178" s="95">
        <v>1066056501</v>
      </c>
      <c r="D178" s="80">
        <v>45909</v>
      </c>
      <c r="E178" s="80" t="s">
        <v>97</v>
      </c>
      <c r="F178" s="66" t="s">
        <v>380</v>
      </c>
    </row>
    <row r="179" spans="1:6" ht="19.5" customHeight="1" x14ac:dyDescent="0.2">
      <c r="A179" s="78">
        <v>1281</v>
      </c>
      <c r="B179" s="85" t="s">
        <v>135</v>
      </c>
      <c r="C179" s="86">
        <v>1124458004</v>
      </c>
      <c r="D179" s="80">
        <v>45923</v>
      </c>
      <c r="E179" s="80" t="s">
        <v>85</v>
      </c>
      <c r="F179" s="66" t="s">
        <v>375</v>
      </c>
    </row>
    <row r="180" spans="1:6" ht="19.5" customHeight="1" x14ac:dyDescent="0.2">
      <c r="A180" s="78">
        <v>1283</v>
      </c>
      <c r="B180" s="85" t="s">
        <v>136</v>
      </c>
      <c r="C180" s="86">
        <v>1285673745</v>
      </c>
      <c r="D180" s="80">
        <v>45923</v>
      </c>
      <c r="E180" s="80" t="s">
        <v>85</v>
      </c>
      <c r="F180" s="66" t="s">
        <v>377</v>
      </c>
    </row>
    <row r="181" spans="1:6" ht="19.5" customHeight="1" x14ac:dyDescent="0.2">
      <c r="A181" s="78">
        <v>1280</v>
      </c>
      <c r="B181" s="85" t="s">
        <v>137</v>
      </c>
      <c r="C181" s="86">
        <v>1555015440</v>
      </c>
      <c r="D181" s="80">
        <v>45923</v>
      </c>
      <c r="E181" s="80" t="s">
        <v>85</v>
      </c>
      <c r="F181" s="66" t="s">
        <v>375</v>
      </c>
    </row>
    <row r="182" spans="1:6" ht="19.5" customHeight="1" x14ac:dyDescent="0.2">
      <c r="A182" s="78">
        <v>1272</v>
      </c>
      <c r="B182" s="85" t="s">
        <v>138</v>
      </c>
      <c r="C182" s="86">
        <v>1271190812</v>
      </c>
      <c r="D182" s="80">
        <v>45923</v>
      </c>
      <c r="E182" s="80" t="s">
        <v>85</v>
      </c>
      <c r="F182" s="66" t="s">
        <v>376</v>
      </c>
    </row>
    <row r="183" spans="1:6" ht="19.5" customHeight="1" x14ac:dyDescent="0.2">
      <c r="A183" s="78">
        <v>1278</v>
      </c>
      <c r="B183" s="85" t="s">
        <v>139</v>
      </c>
      <c r="C183" s="86">
        <v>1270939965</v>
      </c>
      <c r="D183" s="80">
        <v>45923</v>
      </c>
      <c r="E183" s="80" t="s">
        <v>85</v>
      </c>
      <c r="F183" s="66" t="s">
        <v>377</v>
      </c>
    </row>
    <row r="184" spans="1:6" ht="19.5" customHeight="1" x14ac:dyDescent="0.2">
      <c r="A184" s="78">
        <v>1287</v>
      </c>
      <c r="B184" s="85" t="s">
        <v>140</v>
      </c>
      <c r="C184" s="86">
        <v>1206236295</v>
      </c>
      <c r="D184" s="80">
        <v>45923</v>
      </c>
      <c r="E184" s="80" t="s">
        <v>85</v>
      </c>
      <c r="F184" s="66" t="s">
        <v>380</v>
      </c>
    </row>
    <row r="185" spans="1:6" ht="19.5" customHeight="1" x14ac:dyDescent="0.2">
      <c r="A185" s="78">
        <v>1271</v>
      </c>
      <c r="B185" s="85" t="s">
        <v>141</v>
      </c>
      <c r="C185" s="86">
        <v>1200900913</v>
      </c>
      <c r="D185" s="80">
        <v>45923</v>
      </c>
      <c r="E185" s="80" t="s">
        <v>85</v>
      </c>
      <c r="F185" s="66" t="s">
        <v>376</v>
      </c>
    </row>
    <row r="186" spans="1:6" ht="19.5" customHeight="1" x14ac:dyDescent="0.2">
      <c r="A186" s="78">
        <v>1297</v>
      </c>
      <c r="B186" s="85" t="s">
        <v>142</v>
      </c>
      <c r="C186" s="86">
        <v>1067542679</v>
      </c>
      <c r="D186" s="80">
        <v>45931</v>
      </c>
      <c r="E186" s="80" t="s">
        <v>97</v>
      </c>
      <c r="F186" s="66" t="s">
        <v>375</v>
      </c>
    </row>
    <row r="187" spans="1:6" ht="19.5" customHeight="1" x14ac:dyDescent="0.2">
      <c r="A187" s="78">
        <v>1293</v>
      </c>
      <c r="B187" s="85" t="s">
        <v>143</v>
      </c>
      <c r="C187" s="86">
        <v>1067608994</v>
      </c>
      <c r="D187" s="80">
        <v>45931</v>
      </c>
      <c r="E187" s="80" t="s">
        <v>97</v>
      </c>
      <c r="F187" s="66" t="s">
        <v>375</v>
      </c>
    </row>
    <row r="188" spans="1:6" ht="19.5" customHeight="1" x14ac:dyDescent="0.2">
      <c r="A188" s="78">
        <v>1294</v>
      </c>
      <c r="B188" s="85" t="s">
        <v>144</v>
      </c>
      <c r="C188" s="86">
        <v>1009931483</v>
      </c>
      <c r="D188" s="80">
        <v>45931</v>
      </c>
      <c r="E188" s="80" t="s">
        <v>97</v>
      </c>
      <c r="F188" s="66" t="s">
        <v>375</v>
      </c>
    </row>
    <row r="189" spans="1:6" ht="19.5" customHeight="1" x14ac:dyDescent="0.2">
      <c r="A189" s="78">
        <v>1306</v>
      </c>
      <c r="B189" s="85" t="s">
        <v>145</v>
      </c>
      <c r="C189" s="86">
        <v>1212357877</v>
      </c>
      <c r="D189" s="80">
        <v>45931</v>
      </c>
      <c r="E189" s="80" t="s">
        <v>97</v>
      </c>
      <c r="F189" s="66" t="s">
        <v>376</v>
      </c>
    </row>
    <row r="190" spans="1:6" ht="19.5" customHeight="1" x14ac:dyDescent="0.2">
      <c r="A190" s="78">
        <v>1305</v>
      </c>
      <c r="B190" s="85" t="s">
        <v>146</v>
      </c>
      <c r="C190" s="86">
        <v>1099871787</v>
      </c>
      <c r="D190" s="80">
        <v>45931</v>
      </c>
      <c r="E190" s="80" t="s">
        <v>97</v>
      </c>
      <c r="F190" s="66" t="s">
        <v>376</v>
      </c>
    </row>
    <row r="191" spans="1:6" ht="19.5" customHeight="1" x14ac:dyDescent="0.2">
      <c r="A191" s="78">
        <v>1298</v>
      </c>
      <c r="B191" s="85" t="s">
        <v>147</v>
      </c>
      <c r="C191" s="86">
        <v>1092361428</v>
      </c>
      <c r="D191" s="80">
        <v>45931</v>
      </c>
      <c r="E191" s="80" t="s">
        <v>97</v>
      </c>
      <c r="F191" s="66" t="s">
        <v>376</v>
      </c>
    </row>
    <row r="192" spans="1:6" ht="19.5" customHeight="1" x14ac:dyDescent="0.2">
      <c r="A192" s="78">
        <v>1304</v>
      </c>
      <c r="B192" s="85" t="s">
        <v>148</v>
      </c>
      <c r="C192" s="86">
        <v>1092526116</v>
      </c>
      <c r="D192" s="80">
        <v>45931</v>
      </c>
      <c r="E192" s="80" t="s">
        <v>97</v>
      </c>
      <c r="F192" s="66" t="s">
        <v>377</v>
      </c>
    </row>
    <row r="193" spans="1:6" ht="19.5" customHeight="1" x14ac:dyDescent="0.2">
      <c r="A193" s="78">
        <v>1299</v>
      </c>
      <c r="B193" s="85" t="s">
        <v>149</v>
      </c>
      <c r="C193" s="86">
        <v>1097946142</v>
      </c>
      <c r="D193" s="80">
        <v>45931</v>
      </c>
      <c r="E193" s="80" t="s">
        <v>97</v>
      </c>
      <c r="F193" s="66" t="s">
        <v>377</v>
      </c>
    </row>
    <row r="194" spans="1:6" ht="19.5" customHeight="1" x14ac:dyDescent="0.2">
      <c r="A194" s="78">
        <v>1295</v>
      </c>
      <c r="B194" s="85" t="s">
        <v>150</v>
      </c>
      <c r="C194" s="86">
        <v>1023632795</v>
      </c>
      <c r="D194" s="80">
        <v>45931</v>
      </c>
      <c r="E194" s="80" t="s">
        <v>97</v>
      </c>
      <c r="F194" s="66" t="s">
        <v>377</v>
      </c>
    </row>
    <row r="195" spans="1:6" ht="19.5" customHeight="1" x14ac:dyDescent="0.2">
      <c r="A195" s="78">
        <v>1301</v>
      </c>
      <c r="B195" s="85" t="s">
        <v>151</v>
      </c>
      <c r="C195" s="86">
        <v>1023834904</v>
      </c>
      <c r="D195" s="80">
        <v>45931</v>
      </c>
      <c r="E195" s="80" t="s">
        <v>97</v>
      </c>
      <c r="F195" s="66" t="s">
        <v>377</v>
      </c>
    </row>
    <row r="196" spans="1:6" ht="19.5" customHeight="1" x14ac:dyDescent="0.2">
      <c r="A196" s="78">
        <v>1303</v>
      </c>
      <c r="B196" s="85" t="s">
        <v>152</v>
      </c>
      <c r="C196" s="86">
        <v>1028306580</v>
      </c>
      <c r="D196" s="80">
        <v>45931</v>
      </c>
      <c r="E196" s="80" t="s">
        <v>97</v>
      </c>
      <c r="F196" s="66" t="s">
        <v>380</v>
      </c>
    </row>
    <row r="197" spans="1:6" ht="19.5" customHeight="1" x14ac:dyDescent="0.2">
      <c r="A197" s="78">
        <v>1300</v>
      </c>
      <c r="B197" s="85" t="s">
        <v>153</v>
      </c>
      <c r="C197" s="86">
        <v>1004015930</v>
      </c>
      <c r="D197" s="80">
        <v>45931</v>
      </c>
      <c r="E197" s="80" t="s">
        <v>97</v>
      </c>
      <c r="F197" s="66" t="s">
        <v>380</v>
      </c>
    </row>
    <row r="198" spans="1:6" ht="19.5" customHeight="1" x14ac:dyDescent="0.2">
      <c r="A198" s="78">
        <v>1337</v>
      </c>
      <c r="B198" s="85" t="s">
        <v>154</v>
      </c>
      <c r="C198" s="86">
        <v>1019893346</v>
      </c>
      <c r="D198" s="80">
        <v>45935</v>
      </c>
      <c r="E198" s="80" t="s">
        <v>85</v>
      </c>
      <c r="F198" s="66" t="s">
        <v>376</v>
      </c>
    </row>
    <row r="199" spans="1:6" ht="19.5" customHeight="1" x14ac:dyDescent="0.2">
      <c r="A199" s="78">
        <v>1336</v>
      </c>
      <c r="B199" s="85" t="s">
        <v>155</v>
      </c>
      <c r="C199" s="86">
        <v>1280477806</v>
      </c>
      <c r="D199" s="80">
        <v>45935</v>
      </c>
      <c r="E199" s="80" t="s">
        <v>97</v>
      </c>
      <c r="F199" s="66" t="s">
        <v>376</v>
      </c>
    </row>
    <row r="200" spans="1:6" ht="19.5" customHeight="1" x14ac:dyDescent="0.2">
      <c r="A200" s="78">
        <v>1338</v>
      </c>
      <c r="B200" s="85" t="s">
        <v>156</v>
      </c>
      <c r="C200" s="86">
        <v>1090519463</v>
      </c>
      <c r="D200" s="80">
        <v>45936</v>
      </c>
      <c r="E200" s="80" t="s">
        <v>97</v>
      </c>
      <c r="F200" s="66" t="s">
        <v>380</v>
      </c>
    </row>
    <row r="201" spans="1:6" ht="19.5" customHeight="1" x14ac:dyDescent="0.2">
      <c r="A201" s="78">
        <v>1395</v>
      </c>
      <c r="B201" s="85" t="s">
        <v>157</v>
      </c>
      <c r="C201" s="86">
        <v>1222460115</v>
      </c>
      <c r="D201" s="80">
        <v>45963</v>
      </c>
      <c r="E201" s="80" t="s">
        <v>85</v>
      </c>
      <c r="F201" s="66" t="s">
        <v>377</v>
      </c>
    </row>
    <row r="202" spans="1:6" ht="19.5" customHeight="1" x14ac:dyDescent="0.2">
      <c r="A202" s="78">
        <v>1396</v>
      </c>
      <c r="B202" s="85" t="s">
        <v>158</v>
      </c>
      <c r="C202" s="86">
        <v>1018171475</v>
      </c>
      <c r="D202" s="80">
        <v>45963</v>
      </c>
      <c r="E202" s="80" t="s">
        <v>85</v>
      </c>
      <c r="F202" s="66" t="s">
        <v>380</v>
      </c>
    </row>
    <row r="203" spans="1:6" ht="19.5" customHeight="1" x14ac:dyDescent="0.2">
      <c r="A203" s="78">
        <v>1397</v>
      </c>
      <c r="B203" s="85" t="s">
        <v>159</v>
      </c>
      <c r="C203" s="86">
        <v>1211585732</v>
      </c>
      <c r="D203" s="80">
        <v>45963</v>
      </c>
      <c r="E203" s="80" t="s">
        <v>85</v>
      </c>
      <c r="F203" s="66" t="s">
        <v>377</v>
      </c>
    </row>
    <row r="204" spans="1:6" ht="15.75" x14ac:dyDescent="0.2">
      <c r="A204" s="78">
        <v>1398</v>
      </c>
      <c r="B204" s="85" t="s">
        <v>160</v>
      </c>
      <c r="C204" s="86">
        <v>1211662969</v>
      </c>
      <c r="D204" s="80">
        <v>45963</v>
      </c>
      <c r="E204" s="80" t="s">
        <v>85</v>
      </c>
      <c r="F204" s="66" t="s">
        <v>375</v>
      </c>
    </row>
    <row r="205" spans="1:6" ht="15.75" x14ac:dyDescent="0.2">
      <c r="A205" s="78">
        <v>1399</v>
      </c>
      <c r="B205" s="85" t="s">
        <v>161</v>
      </c>
      <c r="C205" s="86">
        <v>1013343107</v>
      </c>
      <c r="D205" s="80">
        <v>45963</v>
      </c>
      <c r="E205" s="80" t="s">
        <v>97</v>
      </c>
      <c r="F205" s="66" t="s">
        <v>376</v>
      </c>
    </row>
    <row r="206" spans="1:6" ht="15.75" x14ac:dyDescent="0.2">
      <c r="A206" s="78">
        <v>1402</v>
      </c>
      <c r="B206" s="85" t="s">
        <v>162</v>
      </c>
      <c r="C206" s="86">
        <v>1069790106</v>
      </c>
      <c r="D206" s="80">
        <v>45963</v>
      </c>
      <c r="E206" s="80" t="s">
        <v>97</v>
      </c>
      <c r="F206" s="66" t="s">
        <v>380</v>
      </c>
    </row>
    <row r="207" spans="1:6" ht="15.75" x14ac:dyDescent="0.2">
      <c r="A207" s="78">
        <v>1403</v>
      </c>
      <c r="B207" s="85" t="s">
        <v>163</v>
      </c>
      <c r="C207" s="86">
        <v>1011921931</v>
      </c>
      <c r="D207" s="80">
        <v>45963</v>
      </c>
      <c r="E207" s="80" t="s">
        <v>97</v>
      </c>
      <c r="F207" s="66" t="s">
        <v>376</v>
      </c>
    </row>
    <row r="208" spans="1:6" ht="15.75" x14ac:dyDescent="0.2">
      <c r="A208" s="78">
        <v>1405</v>
      </c>
      <c r="B208" s="85" t="s">
        <v>164</v>
      </c>
      <c r="C208" s="86">
        <v>1008815076</v>
      </c>
      <c r="D208" s="80">
        <v>45963</v>
      </c>
      <c r="E208" s="80" t="s">
        <v>97</v>
      </c>
      <c r="F208" s="66" t="s">
        <v>377</v>
      </c>
    </row>
    <row r="209" spans="1:6" ht="15.75" x14ac:dyDescent="0.2">
      <c r="A209" s="78">
        <v>1406</v>
      </c>
      <c r="B209" s="85" t="s">
        <v>165</v>
      </c>
      <c r="C209" s="86">
        <v>1091806010</v>
      </c>
      <c r="D209" s="80">
        <v>45963</v>
      </c>
      <c r="E209" s="80" t="s">
        <v>97</v>
      </c>
      <c r="F209" s="66" t="s">
        <v>375</v>
      </c>
    </row>
    <row r="210" spans="1:6" ht="15.75" x14ac:dyDescent="0.2">
      <c r="A210" s="78">
        <v>1407</v>
      </c>
      <c r="B210" s="85" t="s">
        <v>166</v>
      </c>
      <c r="C210" s="86">
        <v>1280397808</v>
      </c>
      <c r="D210" s="80">
        <v>45963</v>
      </c>
      <c r="E210" s="80" t="s">
        <v>97</v>
      </c>
      <c r="F210" s="66" t="s">
        <v>376</v>
      </c>
    </row>
    <row r="211" spans="1:6" ht="15.75" x14ac:dyDescent="0.2">
      <c r="A211" s="78">
        <v>1408</v>
      </c>
      <c r="B211" s="85" t="s">
        <v>167</v>
      </c>
      <c r="C211" s="86">
        <v>1099576547</v>
      </c>
      <c r="D211" s="80">
        <v>45963</v>
      </c>
      <c r="E211" s="80" t="s">
        <v>97</v>
      </c>
      <c r="F211" s="66" t="s">
        <v>380</v>
      </c>
    </row>
    <row r="212" spans="1:6" ht="15.75" x14ac:dyDescent="0.2">
      <c r="A212" s="78">
        <v>1409</v>
      </c>
      <c r="B212" s="85" t="s">
        <v>168</v>
      </c>
      <c r="C212" s="86">
        <v>1019162491</v>
      </c>
      <c r="D212" s="80">
        <v>45963</v>
      </c>
      <c r="E212" s="80" t="s">
        <v>97</v>
      </c>
      <c r="F212" s="66" t="s">
        <v>375</v>
      </c>
    </row>
    <row r="213" spans="1:6" ht="15.75" x14ac:dyDescent="0.2">
      <c r="A213" s="78">
        <v>1410</v>
      </c>
      <c r="B213" s="85" t="s">
        <v>169</v>
      </c>
      <c r="C213" s="86">
        <v>1066923608</v>
      </c>
      <c r="D213" s="80">
        <v>45963</v>
      </c>
      <c r="E213" s="80" t="s">
        <v>97</v>
      </c>
      <c r="F213" s="66" t="s">
        <v>380</v>
      </c>
    </row>
    <row r="214" spans="1:6" ht="15.75" x14ac:dyDescent="0.2">
      <c r="A214" s="78">
        <v>1411</v>
      </c>
      <c r="B214" s="85" t="s">
        <v>170</v>
      </c>
      <c r="C214" s="86">
        <v>1063432653</v>
      </c>
      <c r="D214" s="80">
        <v>45963</v>
      </c>
      <c r="E214" s="80" t="s">
        <v>97</v>
      </c>
      <c r="F214" s="66" t="s">
        <v>377</v>
      </c>
    </row>
    <row r="215" spans="1:6" ht="15.75" x14ac:dyDescent="0.2">
      <c r="A215" s="78">
        <v>1412</v>
      </c>
      <c r="B215" s="85" t="s">
        <v>171</v>
      </c>
      <c r="C215" s="86">
        <v>1015464929</v>
      </c>
      <c r="D215" s="80">
        <v>45963</v>
      </c>
      <c r="E215" s="80" t="s">
        <v>97</v>
      </c>
      <c r="F215" s="66" t="s">
        <v>375</v>
      </c>
    </row>
    <row r="216" spans="1:6" ht="15.75" x14ac:dyDescent="0.2">
      <c r="A216" s="78">
        <v>1413</v>
      </c>
      <c r="B216" s="85" t="s">
        <v>172</v>
      </c>
      <c r="C216" s="86">
        <v>1015808901</v>
      </c>
      <c r="D216" s="80">
        <v>45963</v>
      </c>
      <c r="E216" s="80" t="s">
        <v>97</v>
      </c>
      <c r="F216" s="66" t="s">
        <v>376</v>
      </c>
    </row>
    <row r="217" spans="1:6" ht="15.75" x14ac:dyDescent="0.2">
      <c r="A217" s="78">
        <v>1414</v>
      </c>
      <c r="B217" s="85" t="s">
        <v>173</v>
      </c>
      <c r="C217" s="86">
        <v>1025301788</v>
      </c>
      <c r="D217" s="80">
        <v>45963</v>
      </c>
      <c r="E217" s="80" t="s">
        <v>97</v>
      </c>
      <c r="F217" s="66" t="s">
        <v>380</v>
      </c>
    </row>
    <row r="218" spans="1:6" ht="15.75" x14ac:dyDescent="0.2">
      <c r="A218" s="78">
        <v>1381</v>
      </c>
      <c r="B218" s="85" t="s">
        <v>174</v>
      </c>
      <c r="C218" s="86">
        <v>1014960940</v>
      </c>
      <c r="D218" s="80">
        <v>45963</v>
      </c>
      <c r="E218" s="80" t="s">
        <v>97</v>
      </c>
      <c r="F218" s="66" t="s">
        <v>375</v>
      </c>
    </row>
    <row r="219" spans="1:6" ht="15.75" x14ac:dyDescent="0.2">
      <c r="A219" s="78">
        <v>1424</v>
      </c>
      <c r="B219" s="85" t="s">
        <v>175</v>
      </c>
      <c r="C219" s="86">
        <v>1013135214</v>
      </c>
      <c r="D219" s="80">
        <v>45970</v>
      </c>
      <c r="E219" s="80" t="s">
        <v>85</v>
      </c>
      <c r="F219" s="66" t="s">
        <v>380</v>
      </c>
    </row>
    <row r="220" spans="1:6" ht="15.75" x14ac:dyDescent="0.2">
      <c r="A220" s="78">
        <v>1423</v>
      </c>
      <c r="B220" s="85" t="s">
        <v>176</v>
      </c>
      <c r="C220" s="86">
        <v>1017215350</v>
      </c>
      <c r="D220" s="80">
        <v>45970</v>
      </c>
      <c r="E220" s="80" t="s">
        <v>97</v>
      </c>
      <c r="F220" s="66" t="s">
        <v>375</v>
      </c>
    </row>
    <row r="221" spans="1:6" ht="15.75" x14ac:dyDescent="0.2">
      <c r="A221" s="78">
        <v>1419</v>
      </c>
      <c r="B221" s="85" t="s">
        <v>177</v>
      </c>
      <c r="C221" s="86">
        <v>1097442093</v>
      </c>
      <c r="D221" s="80">
        <v>45970</v>
      </c>
      <c r="E221" s="80" t="s">
        <v>97</v>
      </c>
      <c r="F221" s="66" t="s">
        <v>376</v>
      </c>
    </row>
    <row r="222" spans="1:6" ht="15.75" x14ac:dyDescent="0.2">
      <c r="A222" s="78">
        <v>1427</v>
      </c>
      <c r="B222" s="85" t="s">
        <v>274</v>
      </c>
      <c r="C222" s="86">
        <v>1010517521</v>
      </c>
      <c r="D222" s="80">
        <v>45977</v>
      </c>
      <c r="E222" s="80" t="s">
        <v>97</v>
      </c>
      <c r="F222" s="66" t="s">
        <v>377</v>
      </c>
    </row>
    <row r="223" spans="1:6" ht="15.75" x14ac:dyDescent="0.2">
      <c r="A223" s="78">
        <v>1448</v>
      </c>
      <c r="B223" s="85" t="s">
        <v>285</v>
      </c>
      <c r="C223" s="86">
        <v>1062346248</v>
      </c>
      <c r="D223" s="80">
        <v>46005</v>
      </c>
      <c r="E223" s="80" t="s">
        <v>97</v>
      </c>
      <c r="F223" s="66" t="s">
        <v>380</v>
      </c>
    </row>
    <row r="224" spans="1:6" ht="15.75" x14ac:dyDescent="0.2">
      <c r="A224" s="91">
        <v>1496</v>
      </c>
      <c r="B224" s="92" t="s">
        <v>331</v>
      </c>
      <c r="C224" s="93">
        <v>1211874041</v>
      </c>
      <c r="D224" s="94">
        <v>46096</v>
      </c>
      <c r="E224" s="94" t="s">
        <v>85</v>
      </c>
      <c r="F224" s="66" t="s">
        <v>375</v>
      </c>
    </row>
    <row r="225" spans="1:11" ht="15.75" x14ac:dyDescent="0.2">
      <c r="A225" s="91">
        <v>1497</v>
      </c>
      <c r="B225" s="92" t="s">
        <v>332</v>
      </c>
      <c r="C225" s="93">
        <v>1206816958</v>
      </c>
      <c r="D225" s="94">
        <v>46096</v>
      </c>
      <c r="E225" s="94" t="s">
        <v>85</v>
      </c>
      <c r="F225" s="66" t="s">
        <v>380</v>
      </c>
    </row>
    <row r="226" spans="1:11" ht="15.75" x14ac:dyDescent="0.2">
      <c r="A226" s="91">
        <v>1498</v>
      </c>
      <c r="B226" s="92" t="s">
        <v>333</v>
      </c>
      <c r="C226" s="93">
        <v>1001855432</v>
      </c>
      <c r="D226" s="94">
        <v>46096</v>
      </c>
      <c r="E226" s="94" t="s">
        <v>85</v>
      </c>
      <c r="F226" s="66" t="s">
        <v>375</v>
      </c>
    </row>
    <row r="227" spans="1:11" ht="15.75" x14ac:dyDescent="0.2">
      <c r="A227" s="91">
        <v>1499</v>
      </c>
      <c r="B227" s="92" t="s">
        <v>334</v>
      </c>
      <c r="C227" s="93">
        <v>1020007251</v>
      </c>
      <c r="D227" s="94">
        <v>46096</v>
      </c>
      <c r="E227" s="94" t="s">
        <v>85</v>
      </c>
      <c r="F227" s="66" t="s">
        <v>376</v>
      </c>
    </row>
    <row r="228" spans="1:11" ht="15.75" x14ac:dyDescent="0.2">
      <c r="A228" s="91">
        <v>1501</v>
      </c>
      <c r="B228" s="92" t="s">
        <v>335</v>
      </c>
      <c r="C228" s="93">
        <v>1272776610</v>
      </c>
      <c r="D228" s="94">
        <v>46096</v>
      </c>
      <c r="E228" s="94" t="s">
        <v>85</v>
      </c>
      <c r="F228" s="66" t="s">
        <v>377</v>
      </c>
    </row>
    <row r="229" spans="1:11" ht="15.75" x14ac:dyDescent="0.2">
      <c r="A229" s="91">
        <v>1503</v>
      </c>
      <c r="B229" s="92" t="s">
        <v>337</v>
      </c>
      <c r="C229" s="93">
        <v>1280602828</v>
      </c>
      <c r="D229" s="94">
        <v>46096</v>
      </c>
      <c r="E229" s="94" t="s">
        <v>85</v>
      </c>
      <c r="F229" s="66" t="s">
        <v>377</v>
      </c>
      <c r="K229" t="s">
        <v>395</v>
      </c>
    </row>
    <row r="230" spans="1:11" ht="15.75" x14ac:dyDescent="0.2">
      <c r="A230" s="91">
        <v>1504</v>
      </c>
      <c r="B230" s="92" t="s">
        <v>338</v>
      </c>
      <c r="C230" s="93">
        <v>1206177099</v>
      </c>
      <c r="D230" s="94">
        <v>46096</v>
      </c>
      <c r="E230" s="94" t="s">
        <v>85</v>
      </c>
      <c r="F230" s="66" t="s">
        <v>380</v>
      </c>
    </row>
    <row r="231" spans="1:11" ht="15.75" x14ac:dyDescent="0.2">
      <c r="A231" s="91">
        <v>1515</v>
      </c>
      <c r="B231" s="92" t="s">
        <v>351</v>
      </c>
      <c r="C231" s="93">
        <v>1029853056</v>
      </c>
      <c r="D231" s="94" t="s">
        <v>349</v>
      </c>
      <c r="E231" s="94" t="s">
        <v>97</v>
      </c>
      <c r="F231" s="66" t="s">
        <v>375</v>
      </c>
    </row>
    <row r="232" spans="1:11" ht="15.75" x14ac:dyDescent="0.2">
      <c r="A232" s="91">
        <v>1516</v>
      </c>
      <c r="B232" s="92" t="s">
        <v>352</v>
      </c>
      <c r="C232" s="93">
        <v>1062002433</v>
      </c>
      <c r="D232" s="94" t="s">
        <v>349</v>
      </c>
      <c r="E232" s="94" t="s">
        <v>97</v>
      </c>
      <c r="F232" s="66" t="s">
        <v>375</v>
      </c>
    </row>
    <row r="233" spans="1:11" ht="15.75" x14ac:dyDescent="0.2">
      <c r="A233" s="91">
        <v>1517</v>
      </c>
      <c r="B233" s="92" t="s">
        <v>353</v>
      </c>
      <c r="C233" s="93">
        <v>1015138400</v>
      </c>
      <c r="D233" s="94" t="s">
        <v>349</v>
      </c>
      <c r="E233" s="94" t="s">
        <v>97</v>
      </c>
      <c r="F233" s="66" t="s">
        <v>375</v>
      </c>
    </row>
    <row r="234" spans="1:11" ht="15.75" x14ac:dyDescent="0.2">
      <c r="A234" s="91">
        <v>1518</v>
      </c>
      <c r="B234" s="92" t="s">
        <v>354</v>
      </c>
      <c r="C234" s="93">
        <v>1067816284</v>
      </c>
      <c r="D234" s="94" t="s">
        <v>349</v>
      </c>
      <c r="E234" s="94" t="s">
        <v>97</v>
      </c>
      <c r="F234" s="66" t="s">
        <v>375</v>
      </c>
    </row>
    <row r="235" spans="1:11" ht="15.75" x14ac:dyDescent="0.2">
      <c r="A235" s="91">
        <v>1519</v>
      </c>
      <c r="B235" s="92" t="s">
        <v>355</v>
      </c>
      <c r="C235" s="93">
        <v>1096227514</v>
      </c>
      <c r="D235" s="94" t="s">
        <v>349</v>
      </c>
      <c r="E235" s="94" t="s">
        <v>97</v>
      </c>
      <c r="F235" s="66" t="s">
        <v>377</v>
      </c>
    </row>
    <row r="236" spans="1:11" ht="15.75" x14ac:dyDescent="0.2">
      <c r="A236" s="91">
        <v>1520</v>
      </c>
      <c r="B236" s="92" t="s">
        <v>356</v>
      </c>
      <c r="C236" s="93">
        <v>1018585965</v>
      </c>
      <c r="D236" s="94" t="s">
        <v>349</v>
      </c>
      <c r="E236" s="94" t="s">
        <v>97</v>
      </c>
      <c r="F236" s="66" t="s">
        <v>380</v>
      </c>
    </row>
    <row r="237" spans="1:11" ht="15.75" x14ac:dyDescent="0.2">
      <c r="A237" s="91">
        <v>1521</v>
      </c>
      <c r="B237" s="92" t="s">
        <v>357</v>
      </c>
      <c r="C237" s="93">
        <v>1122971244</v>
      </c>
      <c r="D237" s="94" t="s">
        <v>349</v>
      </c>
      <c r="E237" s="94" t="s">
        <v>97</v>
      </c>
      <c r="F237" s="66" t="s">
        <v>376</v>
      </c>
    </row>
    <row r="238" spans="1:11" ht="15.75" x14ac:dyDescent="0.2">
      <c r="A238" s="91">
        <v>1522</v>
      </c>
      <c r="B238" s="92" t="s">
        <v>359</v>
      </c>
      <c r="C238" s="93">
        <v>1012744343</v>
      </c>
      <c r="D238" s="94" t="s">
        <v>349</v>
      </c>
      <c r="E238" s="94" t="s">
        <v>97</v>
      </c>
      <c r="F238" s="66" t="s">
        <v>376</v>
      </c>
    </row>
    <row r="239" spans="1:11" ht="15.75" x14ac:dyDescent="0.2">
      <c r="A239" s="91">
        <v>1523</v>
      </c>
      <c r="B239" s="92" t="s">
        <v>360</v>
      </c>
      <c r="C239" s="93">
        <v>1018984375</v>
      </c>
      <c r="D239" s="94" t="s">
        <v>349</v>
      </c>
      <c r="E239" s="94" t="s">
        <v>97</v>
      </c>
      <c r="F239" s="66" t="s">
        <v>377</v>
      </c>
    </row>
    <row r="240" spans="1:11" ht="15.75" x14ac:dyDescent="0.2">
      <c r="A240" s="91">
        <v>1524</v>
      </c>
      <c r="B240" s="92" t="s">
        <v>361</v>
      </c>
      <c r="C240" s="93">
        <v>1007519337</v>
      </c>
      <c r="D240" s="94" t="s">
        <v>349</v>
      </c>
      <c r="E240" s="94" t="s">
        <v>97</v>
      </c>
      <c r="F240" s="66" t="s">
        <v>377</v>
      </c>
    </row>
    <row r="241" spans="1:19" ht="15.75" x14ac:dyDescent="0.2">
      <c r="A241" s="91">
        <v>1525</v>
      </c>
      <c r="B241" s="92" t="s">
        <v>362</v>
      </c>
      <c r="C241" s="93">
        <v>1066398134</v>
      </c>
      <c r="D241" s="94" t="s">
        <v>349</v>
      </c>
      <c r="E241" s="94" t="s">
        <v>97</v>
      </c>
      <c r="F241" s="66" t="s">
        <v>377</v>
      </c>
    </row>
    <row r="242" spans="1:19" ht="15.75" x14ac:dyDescent="0.2">
      <c r="A242" s="91">
        <v>1526</v>
      </c>
      <c r="B242" s="92" t="s">
        <v>363</v>
      </c>
      <c r="C242" s="93">
        <v>1060388369</v>
      </c>
      <c r="D242" s="94" t="s">
        <v>349</v>
      </c>
      <c r="E242" s="94" t="s">
        <v>97</v>
      </c>
      <c r="F242" s="66" t="s">
        <v>380</v>
      </c>
    </row>
    <row r="243" spans="1:19" ht="15.75" x14ac:dyDescent="0.2">
      <c r="A243" s="91">
        <v>1528</v>
      </c>
      <c r="B243" s="92" t="s">
        <v>365</v>
      </c>
      <c r="C243" s="93">
        <v>1069803508</v>
      </c>
      <c r="D243" s="94" t="s">
        <v>349</v>
      </c>
      <c r="E243" s="94" t="s">
        <v>97</v>
      </c>
      <c r="F243" s="66" t="s">
        <v>380</v>
      </c>
    </row>
    <row r="244" spans="1:19" ht="15.75" x14ac:dyDescent="0.2">
      <c r="A244" s="91">
        <v>1529</v>
      </c>
      <c r="B244" s="92" t="s">
        <v>366</v>
      </c>
      <c r="C244" s="93">
        <v>1064563803</v>
      </c>
      <c r="D244" s="94" t="s">
        <v>349</v>
      </c>
      <c r="E244" s="94" t="s">
        <v>97</v>
      </c>
      <c r="F244" s="66" t="s">
        <v>376</v>
      </c>
    </row>
    <row r="245" spans="1:19" ht="15.75" x14ac:dyDescent="0.2">
      <c r="A245" s="91">
        <v>1539</v>
      </c>
      <c r="B245" s="92" t="s">
        <v>358</v>
      </c>
      <c r="C245" s="93">
        <v>1011077589</v>
      </c>
      <c r="D245" s="94" t="s">
        <v>349</v>
      </c>
      <c r="E245" s="94" t="s">
        <v>97</v>
      </c>
      <c r="F245" s="66" t="s">
        <v>376</v>
      </c>
    </row>
    <row r="246" spans="1:19" ht="15.75" x14ac:dyDescent="0.2">
      <c r="A246" s="91">
        <v>1540</v>
      </c>
      <c r="B246" s="92" t="s">
        <v>367</v>
      </c>
      <c r="C246" s="93">
        <v>1124406758</v>
      </c>
      <c r="D246" s="94" t="s">
        <v>349</v>
      </c>
      <c r="E246" s="94" t="s">
        <v>97</v>
      </c>
      <c r="F246" s="66" t="s">
        <v>380</v>
      </c>
    </row>
    <row r="247" spans="1:19" ht="15.75" x14ac:dyDescent="0.2">
      <c r="A247" s="91">
        <v>1541</v>
      </c>
      <c r="B247" s="92" t="s">
        <v>381</v>
      </c>
      <c r="C247" s="93">
        <v>1026245735</v>
      </c>
      <c r="D247" s="94">
        <v>46110</v>
      </c>
      <c r="E247" s="94" t="s">
        <v>97</v>
      </c>
      <c r="F247" s="66" t="s">
        <v>377</v>
      </c>
    </row>
    <row r="248" spans="1:19" ht="15.75" x14ac:dyDescent="0.2">
      <c r="A248" s="121" t="s">
        <v>374</v>
      </c>
      <c r="B248" s="121"/>
      <c r="C248" s="121"/>
      <c r="D248" s="121"/>
      <c r="E248" s="121"/>
      <c r="F248" s="121"/>
    </row>
    <row r="249" spans="1:19" ht="15.75" x14ac:dyDescent="0.2">
      <c r="A249" s="76" t="s">
        <v>290</v>
      </c>
      <c r="B249" s="76" t="s">
        <v>291</v>
      </c>
      <c r="C249" s="76" t="s">
        <v>292</v>
      </c>
      <c r="D249" s="77" t="s">
        <v>293</v>
      </c>
      <c r="E249" s="77" t="s">
        <v>294</v>
      </c>
      <c r="F249" s="66" t="s">
        <v>378</v>
      </c>
    </row>
    <row r="250" spans="1:19" s="55" customFormat="1" ht="15.75" x14ac:dyDescent="0.2">
      <c r="A250" s="78">
        <v>1155</v>
      </c>
      <c r="B250" s="85" t="s">
        <v>196</v>
      </c>
      <c r="C250" s="86">
        <v>1026816970</v>
      </c>
      <c r="D250" s="80">
        <v>45823</v>
      </c>
      <c r="E250" s="80" t="s">
        <v>197</v>
      </c>
      <c r="F250" s="66" t="s">
        <v>380</v>
      </c>
      <c r="K250"/>
      <c r="S250" s="75"/>
    </row>
    <row r="251" spans="1:19" ht="15.75" x14ac:dyDescent="0.2">
      <c r="A251" s="78">
        <v>1157</v>
      </c>
      <c r="B251" s="79" t="s">
        <v>198</v>
      </c>
      <c r="C251" s="86">
        <v>1019862780</v>
      </c>
      <c r="D251" s="80">
        <v>45823</v>
      </c>
      <c r="E251" s="80" t="s">
        <v>197</v>
      </c>
      <c r="F251" s="66" t="s">
        <v>377</v>
      </c>
    </row>
    <row r="252" spans="1:19" ht="15.75" x14ac:dyDescent="0.2">
      <c r="A252" s="78">
        <v>1156</v>
      </c>
      <c r="B252" s="79" t="s">
        <v>199</v>
      </c>
      <c r="C252" s="86">
        <v>1203775500</v>
      </c>
      <c r="D252" s="80">
        <v>45823</v>
      </c>
      <c r="E252" s="80" t="s">
        <v>197</v>
      </c>
      <c r="F252" s="66" t="s">
        <v>375</v>
      </c>
    </row>
    <row r="253" spans="1:19" ht="15.75" x14ac:dyDescent="0.2">
      <c r="A253" s="78">
        <v>1230</v>
      </c>
      <c r="B253" s="85" t="s">
        <v>200</v>
      </c>
      <c r="C253" s="86" t="s">
        <v>301</v>
      </c>
      <c r="D253" s="80">
        <v>45893</v>
      </c>
      <c r="E253" s="80" t="s">
        <v>197</v>
      </c>
      <c r="F253" s="66" t="s">
        <v>376</v>
      </c>
    </row>
    <row r="254" spans="1:19" ht="15.75" x14ac:dyDescent="0.2">
      <c r="A254" s="78">
        <v>1289</v>
      </c>
      <c r="B254" s="85" t="s">
        <v>201</v>
      </c>
      <c r="C254" s="86">
        <v>1068518876</v>
      </c>
      <c r="D254" s="80">
        <v>45923</v>
      </c>
      <c r="E254" s="80" t="s">
        <v>197</v>
      </c>
      <c r="F254" s="66" t="s">
        <v>377</v>
      </c>
    </row>
    <row r="255" spans="1:19" ht="15.75" x14ac:dyDescent="0.2">
      <c r="A255" s="78">
        <v>1274</v>
      </c>
      <c r="B255" s="85" t="s">
        <v>202</v>
      </c>
      <c r="C255" s="86">
        <v>1286636150</v>
      </c>
      <c r="D255" s="80">
        <v>45923</v>
      </c>
      <c r="E255" s="80" t="s">
        <v>197</v>
      </c>
      <c r="F255" s="66" t="s">
        <v>376</v>
      </c>
    </row>
    <row r="256" spans="1:19" ht="15.75" x14ac:dyDescent="0.2">
      <c r="A256" s="78">
        <v>1275</v>
      </c>
      <c r="B256" s="85" t="s">
        <v>203</v>
      </c>
      <c r="C256" s="86">
        <v>1201208567</v>
      </c>
      <c r="D256" s="80">
        <v>45923</v>
      </c>
      <c r="E256" s="80" t="s">
        <v>197</v>
      </c>
      <c r="F256" s="66" t="s">
        <v>380</v>
      </c>
    </row>
    <row r="257" spans="1:6" ht="15.75" x14ac:dyDescent="0.2">
      <c r="A257" s="78">
        <v>1327</v>
      </c>
      <c r="B257" s="85" t="s">
        <v>204</v>
      </c>
      <c r="C257" s="86">
        <v>1271617740</v>
      </c>
      <c r="D257" s="80">
        <v>45931</v>
      </c>
      <c r="E257" s="80" t="s">
        <v>197</v>
      </c>
      <c r="F257" s="66" t="s">
        <v>375</v>
      </c>
    </row>
    <row r="258" spans="1:6" ht="15.75" x14ac:dyDescent="0.2">
      <c r="A258" s="78">
        <v>1382</v>
      </c>
      <c r="B258" s="85" t="s">
        <v>205</v>
      </c>
      <c r="C258" s="86">
        <v>1093568107</v>
      </c>
      <c r="D258" s="80">
        <v>45963</v>
      </c>
      <c r="E258" s="80" t="s">
        <v>197</v>
      </c>
      <c r="F258" s="66" t="s">
        <v>376</v>
      </c>
    </row>
    <row r="259" spans="1:6" ht="15.75" x14ac:dyDescent="0.2">
      <c r="A259" s="78">
        <v>1416</v>
      </c>
      <c r="B259" s="85" t="s">
        <v>206</v>
      </c>
      <c r="C259" s="86">
        <v>1212337451</v>
      </c>
      <c r="D259" s="80">
        <v>45964</v>
      </c>
      <c r="E259" s="80" t="s">
        <v>197</v>
      </c>
      <c r="F259" s="66" t="s">
        <v>375</v>
      </c>
    </row>
    <row r="260" spans="1:6" ht="15.75" x14ac:dyDescent="0.2">
      <c r="A260" s="78">
        <v>1426</v>
      </c>
      <c r="B260" s="85" t="s">
        <v>273</v>
      </c>
      <c r="C260" s="86" t="s">
        <v>298</v>
      </c>
      <c r="D260" s="80">
        <v>45977</v>
      </c>
      <c r="E260" s="80" t="s">
        <v>197</v>
      </c>
      <c r="F260" s="66" t="s">
        <v>380</v>
      </c>
    </row>
    <row r="261" spans="1:6" ht="15.75" x14ac:dyDescent="0.2">
      <c r="A261" s="78">
        <v>1502</v>
      </c>
      <c r="B261" s="85" t="s">
        <v>336</v>
      </c>
      <c r="C261" s="86">
        <v>1205185142</v>
      </c>
      <c r="D261" s="80">
        <v>46096</v>
      </c>
      <c r="E261" s="80" t="s">
        <v>197</v>
      </c>
      <c r="F261" s="66" t="s">
        <v>377</v>
      </c>
    </row>
    <row r="262" spans="1:6" ht="15.75" x14ac:dyDescent="0.2">
      <c r="A262" s="121" t="s">
        <v>207</v>
      </c>
      <c r="B262" s="121"/>
      <c r="C262" s="121"/>
      <c r="D262" s="121"/>
      <c r="E262" s="121"/>
      <c r="F262" s="121"/>
    </row>
    <row r="263" spans="1:6" ht="15.75" x14ac:dyDescent="0.2">
      <c r="A263" s="76" t="s">
        <v>290</v>
      </c>
      <c r="B263" s="76" t="s">
        <v>291</v>
      </c>
      <c r="C263" s="76" t="s">
        <v>292</v>
      </c>
      <c r="D263" s="77" t="s">
        <v>293</v>
      </c>
      <c r="E263" s="77" t="s">
        <v>294</v>
      </c>
      <c r="F263" s="66" t="s">
        <v>378</v>
      </c>
    </row>
    <row r="264" spans="1:6" ht="15.75" x14ac:dyDescent="0.2">
      <c r="A264" s="78">
        <v>1249</v>
      </c>
      <c r="B264" s="85" t="s">
        <v>208</v>
      </c>
      <c r="C264" s="86">
        <v>1207043968</v>
      </c>
      <c r="D264" s="80">
        <v>45901</v>
      </c>
      <c r="E264" s="78" t="s">
        <v>472</v>
      </c>
      <c r="F264" s="66" t="s">
        <v>377</v>
      </c>
    </row>
    <row r="265" spans="1:6" ht="15.75" x14ac:dyDescent="0.2">
      <c r="A265" s="78">
        <v>1250</v>
      </c>
      <c r="B265" s="85" t="s">
        <v>209</v>
      </c>
      <c r="C265" s="86">
        <v>1275772537</v>
      </c>
      <c r="D265" s="80">
        <v>45901</v>
      </c>
      <c r="E265" s="78" t="s">
        <v>472</v>
      </c>
      <c r="F265" s="66" t="s">
        <v>375</v>
      </c>
    </row>
    <row r="266" spans="1:6" ht="15.75" x14ac:dyDescent="0.2">
      <c r="A266" s="78">
        <v>1248</v>
      </c>
      <c r="B266" s="85" t="s">
        <v>210</v>
      </c>
      <c r="C266" s="86">
        <v>1100075267</v>
      </c>
      <c r="D266" s="80">
        <v>45901</v>
      </c>
      <c r="E266" s="78" t="s">
        <v>472</v>
      </c>
      <c r="F266" s="66" t="s">
        <v>376</v>
      </c>
    </row>
    <row r="267" spans="1:6" ht="15.75" x14ac:dyDescent="0.2">
      <c r="A267" s="96">
        <v>1253</v>
      </c>
      <c r="B267" s="85" t="s">
        <v>211</v>
      </c>
      <c r="C267" s="86">
        <v>1227584452</v>
      </c>
      <c r="D267" s="80">
        <v>45901</v>
      </c>
      <c r="E267" s="78" t="s">
        <v>472</v>
      </c>
      <c r="F267" s="66" t="s">
        <v>376</v>
      </c>
    </row>
    <row r="268" spans="1:6" ht="15.75" x14ac:dyDescent="0.2">
      <c r="A268" s="96">
        <v>1262</v>
      </c>
      <c r="B268" s="85" t="s">
        <v>212</v>
      </c>
      <c r="C268" s="86">
        <v>1225973210</v>
      </c>
      <c r="D268" s="80">
        <v>45915</v>
      </c>
      <c r="E268" s="78" t="s">
        <v>472</v>
      </c>
      <c r="F268" s="66" t="s">
        <v>377</v>
      </c>
    </row>
    <row r="269" spans="1:6" ht="15.75" x14ac:dyDescent="0.2">
      <c r="A269" s="96">
        <v>1266</v>
      </c>
      <c r="B269" s="85" t="s">
        <v>213</v>
      </c>
      <c r="C269" s="86">
        <v>1278900148</v>
      </c>
      <c r="D269" s="80">
        <v>45915</v>
      </c>
      <c r="E269" s="78" t="s">
        <v>472</v>
      </c>
      <c r="F269" s="66" t="s">
        <v>380</v>
      </c>
    </row>
    <row r="270" spans="1:6" ht="15.75" x14ac:dyDescent="0.2">
      <c r="A270" s="96">
        <v>1261</v>
      </c>
      <c r="B270" s="85" t="s">
        <v>214</v>
      </c>
      <c r="C270" s="86">
        <v>1224108160</v>
      </c>
      <c r="D270" s="80">
        <v>45915</v>
      </c>
      <c r="E270" s="78" t="s">
        <v>472</v>
      </c>
      <c r="F270" s="66" t="s">
        <v>380</v>
      </c>
    </row>
    <row r="271" spans="1:6" ht="15.75" x14ac:dyDescent="0.2">
      <c r="A271" s="96">
        <v>1308</v>
      </c>
      <c r="B271" s="85" t="s">
        <v>215</v>
      </c>
      <c r="C271" s="86">
        <v>1203723346</v>
      </c>
      <c r="D271" s="80">
        <v>45931</v>
      </c>
      <c r="E271" s="78" t="s">
        <v>472</v>
      </c>
      <c r="F271" s="66" t="s">
        <v>375</v>
      </c>
    </row>
    <row r="272" spans="1:6" ht="15.75" x14ac:dyDescent="0.2">
      <c r="A272" s="96">
        <v>1324</v>
      </c>
      <c r="B272" s="85" t="s">
        <v>216</v>
      </c>
      <c r="C272" s="86">
        <v>1023235415</v>
      </c>
      <c r="D272" s="80">
        <v>45931</v>
      </c>
      <c r="E272" s="78" t="s">
        <v>472</v>
      </c>
      <c r="F272" s="66" t="s">
        <v>375</v>
      </c>
    </row>
    <row r="273" spans="1:6" ht="15.75" x14ac:dyDescent="0.2">
      <c r="A273" s="96">
        <v>1307</v>
      </c>
      <c r="B273" s="85" t="s">
        <v>217</v>
      </c>
      <c r="C273" s="86">
        <v>1210839822</v>
      </c>
      <c r="D273" s="80">
        <v>45931</v>
      </c>
      <c r="E273" s="78" t="s">
        <v>472</v>
      </c>
      <c r="F273" s="66" t="s">
        <v>377</v>
      </c>
    </row>
    <row r="274" spans="1:6" ht="15.75" x14ac:dyDescent="0.2">
      <c r="A274" s="96">
        <v>1320</v>
      </c>
      <c r="B274" s="85" t="s">
        <v>218</v>
      </c>
      <c r="C274" s="86">
        <v>1284601715</v>
      </c>
      <c r="D274" s="80">
        <v>45931</v>
      </c>
      <c r="E274" s="78" t="s">
        <v>472</v>
      </c>
      <c r="F274" s="66" t="s">
        <v>375</v>
      </c>
    </row>
    <row r="275" spans="1:6" ht="15.75" x14ac:dyDescent="0.2">
      <c r="A275" s="96">
        <v>1309</v>
      </c>
      <c r="B275" s="85" t="s">
        <v>219</v>
      </c>
      <c r="C275" s="86">
        <v>1224206939</v>
      </c>
      <c r="D275" s="80">
        <v>45931</v>
      </c>
      <c r="E275" s="78" t="s">
        <v>472</v>
      </c>
      <c r="F275" s="66" t="s">
        <v>376</v>
      </c>
    </row>
    <row r="276" spans="1:6" ht="15.75" x14ac:dyDescent="0.2">
      <c r="A276" s="96">
        <v>1314</v>
      </c>
      <c r="B276" s="85" t="s">
        <v>220</v>
      </c>
      <c r="C276" s="86">
        <v>1090258587</v>
      </c>
      <c r="D276" s="80">
        <v>45931</v>
      </c>
      <c r="E276" s="78" t="s">
        <v>472</v>
      </c>
      <c r="F276" s="66" t="s">
        <v>376</v>
      </c>
    </row>
    <row r="277" spans="1:6" ht="15.75" x14ac:dyDescent="0.2">
      <c r="A277" s="96">
        <v>1312</v>
      </c>
      <c r="B277" s="85" t="s">
        <v>221</v>
      </c>
      <c r="C277" s="86">
        <v>1018476097</v>
      </c>
      <c r="D277" s="80">
        <v>45931</v>
      </c>
      <c r="E277" s="78" t="s">
        <v>472</v>
      </c>
      <c r="F277" s="66" t="s">
        <v>376</v>
      </c>
    </row>
    <row r="278" spans="1:6" ht="15.75" x14ac:dyDescent="0.2">
      <c r="A278" s="96">
        <v>1313</v>
      </c>
      <c r="B278" s="85" t="s">
        <v>222</v>
      </c>
      <c r="C278" s="86">
        <v>1114656410</v>
      </c>
      <c r="D278" s="80">
        <v>45931</v>
      </c>
      <c r="E278" s="78" t="s">
        <v>472</v>
      </c>
      <c r="F278" s="66" t="s">
        <v>376</v>
      </c>
    </row>
    <row r="279" spans="1:6" ht="15.75" x14ac:dyDescent="0.2">
      <c r="A279" s="96">
        <v>1318</v>
      </c>
      <c r="B279" s="85" t="s">
        <v>223</v>
      </c>
      <c r="C279" s="86">
        <v>1026635540</v>
      </c>
      <c r="D279" s="80">
        <v>45931</v>
      </c>
      <c r="E279" s="78" t="s">
        <v>472</v>
      </c>
      <c r="F279" s="66" t="s">
        <v>376</v>
      </c>
    </row>
    <row r="280" spans="1:6" ht="15.75" x14ac:dyDescent="0.2">
      <c r="A280" s="96">
        <v>1315</v>
      </c>
      <c r="B280" s="85" t="s">
        <v>224</v>
      </c>
      <c r="C280" s="86">
        <v>1061643265</v>
      </c>
      <c r="D280" s="80">
        <v>45931</v>
      </c>
      <c r="E280" s="78" t="s">
        <v>472</v>
      </c>
      <c r="F280" s="66" t="s">
        <v>377</v>
      </c>
    </row>
    <row r="281" spans="1:6" ht="15.75" x14ac:dyDescent="0.2">
      <c r="A281" s="96">
        <v>1321</v>
      </c>
      <c r="B281" s="85" t="s">
        <v>225</v>
      </c>
      <c r="C281" s="86">
        <v>1112253389</v>
      </c>
      <c r="D281" s="80">
        <v>45931</v>
      </c>
      <c r="E281" s="78" t="s">
        <v>472</v>
      </c>
      <c r="F281" s="66" t="s">
        <v>377</v>
      </c>
    </row>
    <row r="282" spans="1:6" ht="15.75" x14ac:dyDescent="0.2">
      <c r="A282" s="96">
        <v>1319</v>
      </c>
      <c r="B282" s="85" t="s">
        <v>226</v>
      </c>
      <c r="C282" s="86">
        <v>1066006174</v>
      </c>
      <c r="D282" s="80">
        <v>45931</v>
      </c>
      <c r="E282" s="78" t="s">
        <v>472</v>
      </c>
      <c r="F282" s="66" t="s">
        <v>377</v>
      </c>
    </row>
    <row r="283" spans="1:6" ht="15.75" x14ac:dyDescent="0.2">
      <c r="A283" s="96">
        <v>1322</v>
      </c>
      <c r="B283" s="85" t="s">
        <v>227</v>
      </c>
      <c r="C283" s="86">
        <v>1011712094</v>
      </c>
      <c r="D283" s="80">
        <v>45931</v>
      </c>
      <c r="E283" s="78" t="s">
        <v>472</v>
      </c>
      <c r="F283" s="66" t="s">
        <v>377</v>
      </c>
    </row>
    <row r="284" spans="1:6" ht="15.75" x14ac:dyDescent="0.2">
      <c r="A284" s="96">
        <v>1317</v>
      </c>
      <c r="B284" s="85" t="s">
        <v>228</v>
      </c>
      <c r="C284" s="86">
        <v>1064225413</v>
      </c>
      <c r="D284" s="80">
        <v>45931</v>
      </c>
      <c r="E284" s="78" t="s">
        <v>472</v>
      </c>
      <c r="F284" s="66" t="s">
        <v>375</v>
      </c>
    </row>
    <row r="285" spans="1:6" ht="15.75" x14ac:dyDescent="0.2">
      <c r="A285" s="96">
        <v>1323</v>
      </c>
      <c r="B285" s="85" t="s">
        <v>229</v>
      </c>
      <c r="C285" s="86">
        <v>1025875194</v>
      </c>
      <c r="D285" s="80">
        <v>45931</v>
      </c>
      <c r="E285" s="78" t="s">
        <v>472</v>
      </c>
      <c r="F285" s="66" t="s">
        <v>375</v>
      </c>
    </row>
    <row r="286" spans="1:6" ht="15.75" x14ac:dyDescent="0.2">
      <c r="A286" s="96">
        <v>1326</v>
      </c>
      <c r="B286" s="85" t="s">
        <v>230</v>
      </c>
      <c r="C286" s="86">
        <v>1011558046</v>
      </c>
      <c r="D286" s="80">
        <v>45931</v>
      </c>
      <c r="E286" s="78" t="s">
        <v>472</v>
      </c>
      <c r="F286" s="66" t="s">
        <v>380</v>
      </c>
    </row>
    <row r="287" spans="1:6" ht="15.75" x14ac:dyDescent="0.2">
      <c r="A287" s="96">
        <v>1316</v>
      </c>
      <c r="B287" s="85" t="s">
        <v>231</v>
      </c>
      <c r="C287" s="86">
        <v>1096868155</v>
      </c>
      <c r="D287" s="80">
        <v>45931</v>
      </c>
      <c r="E287" s="78" t="s">
        <v>472</v>
      </c>
      <c r="F287" s="66" t="s">
        <v>380</v>
      </c>
    </row>
    <row r="288" spans="1:6" ht="15.75" x14ac:dyDescent="0.2">
      <c r="A288" s="96">
        <v>1325</v>
      </c>
      <c r="B288" s="85" t="s">
        <v>232</v>
      </c>
      <c r="C288" s="86">
        <v>1152056337</v>
      </c>
      <c r="D288" s="80">
        <v>45931</v>
      </c>
      <c r="E288" s="78" t="s">
        <v>472</v>
      </c>
      <c r="F288" s="66" t="s">
        <v>380</v>
      </c>
    </row>
    <row r="289" spans="1:6" ht="15.75" x14ac:dyDescent="0.2">
      <c r="A289" s="96">
        <v>1311</v>
      </c>
      <c r="B289" s="85" t="s">
        <v>233</v>
      </c>
      <c r="C289" s="86">
        <v>1024464398</v>
      </c>
      <c r="D289" s="80">
        <v>45931</v>
      </c>
      <c r="E289" s="78" t="s">
        <v>472</v>
      </c>
      <c r="F289" s="66" t="s">
        <v>380</v>
      </c>
    </row>
    <row r="290" spans="1:6" ht="15.75" x14ac:dyDescent="0.2">
      <c r="A290" s="96">
        <v>1310</v>
      </c>
      <c r="B290" s="85" t="s">
        <v>234</v>
      </c>
      <c r="C290" s="86">
        <v>1278490834</v>
      </c>
      <c r="D290" s="80">
        <v>45931</v>
      </c>
      <c r="E290" s="78" t="s">
        <v>472</v>
      </c>
      <c r="F290" s="66" t="s">
        <v>380</v>
      </c>
    </row>
    <row r="291" spans="1:6" ht="15.75" x14ac:dyDescent="0.2">
      <c r="A291" s="96">
        <v>1335</v>
      </c>
      <c r="B291" s="85" t="s">
        <v>235</v>
      </c>
      <c r="C291" s="86">
        <v>1099193646</v>
      </c>
      <c r="D291" s="80">
        <v>45935</v>
      </c>
      <c r="E291" s="78" t="s">
        <v>472</v>
      </c>
      <c r="F291" s="66" t="s">
        <v>375</v>
      </c>
    </row>
    <row r="292" spans="1:6" ht="15.75" x14ac:dyDescent="0.2">
      <c r="A292" s="96">
        <v>1339</v>
      </c>
      <c r="B292" s="85" t="s">
        <v>236</v>
      </c>
      <c r="C292" s="86">
        <v>1065229563</v>
      </c>
      <c r="D292" s="80">
        <v>45945</v>
      </c>
      <c r="E292" s="78" t="s">
        <v>472</v>
      </c>
      <c r="F292" s="66" t="s">
        <v>376</v>
      </c>
    </row>
    <row r="293" spans="1:6" ht="15.75" x14ac:dyDescent="0.2">
      <c r="A293" s="96">
        <v>1342</v>
      </c>
      <c r="B293" s="85" t="s">
        <v>237</v>
      </c>
      <c r="C293" s="86">
        <v>1022813183</v>
      </c>
      <c r="D293" s="80">
        <v>45945</v>
      </c>
      <c r="E293" s="78" t="s">
        <v>472</v>
      </c>
      <c r="F293" s="66" t="s">
        <v>380</v>
      </c>
    </row>
    <row r="294" spans="1:6" ht="15.75" x14ac:dyDescent="0.2">
      <c r="A294" s="96">
        <v>1343</v>
      </c>
      <c r="B294" s="85" t="s">
        <v>238</v>
      </c>
      <c r="C294" s="86">
        <v>1026323783</v>
      </c>
      <c r="D294" s="80">
        <v>45945</v>
      </c>
      <c r="E294" s="78" t="s">
        <v>472</v>
      </c>
      <c r="F294" s="66" t="s">
        <v>377</v>
      </c>
    </row>
    <row r="295" spans="1:6" ht="15.75" x14ac:dyDescent="0.2">
      <c r="A295" s="96">
        <v>1344</v>
      </c>
      <c r="B295" s="85" t="s">
        <v>239</v>
      </c>
      <c r="C295" s="86">
        <v>1147401011</v>
      </c>
      <c r="D295" s="80">
        <v>45945</v>
      </c>
      <c r="E295" s="78" t="s">
        <v>472</v>
      </c>
      <c r="F295" s="66" t="s">
        <v>377</v>
      </c>
    </row>
    <row r="296" spans="1:6" ht="15.75" x14ac:dyDescent="0.2">
      <c r="A296" s="96">
        <v>1345</v>
      </c>
      <c r="B296" s="85" t="s">
        <v>240</v>
      </c>
      <c r="C296" s="86">
        <v>1091934021</v>
      </c>
      <c r="D296" s="80">
        <v>45945</v>
      </c>
      <c r="E296" s="78" t="s">
        <v>472</v>
      </c>
      <c r="F296" s="66" t="s">
        <v>377</v>
      </c>
    </row>
    <row r="297" spans="1:6" ht="15.75" x14ac:dyDescent="0.2">
      <c r="A297" s="96">
        <v>1346</v>
      </c>
      <c r="B297" s="85" t="s">
        <v>241</v>
      </c>
      <c r="C297" s="86">
        <v>1066143643</v>
      </c>
      <c r="D297" s="80">
        <v>45945</v>
      </c>
      <c r="E297" s="78" t="s">
        <v>472</v>
      </c>
      <c r="F297" s="66" t="s">
        <v>376</v>
      </c>
    </row>
    <row r="298" spans="1:6" ht="15.75" x14ac:dyDescent="0.2">
      <c r="A298" s="96">
        <v>1350</v>
      </c>
      <c r="B298" s="85" t="s">
        <v>242</v>
      </c>
      <c r="C298" s="86">
        <v>1060251980</v>
      </c>
      <c r="D298" s="80">
        <v>45945</v>
      </c>
      <c r="E298" s="78" t="s">
        <v>472</v>
      </c>
      <c r="F298" s="66" t="s">
        <v>380</v>
      </c>
    </row>
    <row r="299" spans="1:6" ht="15.75" x14ac:dyDescent="0.2">
      <c r="A299" s="96">
        <v>1351</v>
      </c>
      <c r="B299" s="85" t="s">
        <v>243</v>
      </c>
      <c r="C299" s="86">
        <v>1060571674</v>
      </c>
      <c r="D299" s="80">
        <v>45945</v>
      </c>
      <c r="E299" s="78" t="s">
        <v>472</v>
      </c>
      <c r="F299" s="66" t="s">
        <v>376</v>
      </c>
    </row>
    <row r="300" spans="1:6" ht="15.75" x14ac:dyDescent="0.2">
      <c r="A300" s="96">
        <v>1352</v>
      </c>
      <c r="B300" s="85" t="s">
        <v>244</v>
      </c>
      <c r="C300" s="86">
        <v>1098459888</v>
      </c>
      <c r="D300" s="80">
        <v>45945</v>
      </c>
      <c r="E300" s="78" t="s">
        <v>472</v>
      </c>
      <c r="F300" s="66" t="s">
        <v>376</v>
      </c>
    </row>
    <row r="301" spans="1:6" ht="15.75" x14ac:dyDescent="0.2">
      <c r="A301" s="96">
        <v>1353</v>
      </c>
      <c r="B301" s="85" t="s">
        <v>245</v>
      </c>
      <c r="C301" s="86">
        <v>1063260606</v>
      </c>
      <c r="D301" s="80">
        <v>45945</v>
      </c>
      <c r="E301" s="78" t="s">
        <v>472</v>
      </c>
      <c r="F301" s="66" t="s">
        <v>375</v>
      </c>
    </row>
    <row r="302" spans="1:6" ht="15.75" x14ac:dyDescent="0.2">
      <c r="A302" s="96">
        <v>1354</v>
      </c>
      <c r="B302" s="85" t="s">
        <v>246</v>
      </c>
      <c r="C302" s="86">
        <v>1098810443</v>
      </c>
      <c r="D302" s="80">
        <v>45945</v>
      </c>
      <c r="E302" s="78" t="s">
        <v>472</v>
      </c>
      <c r="F302" s="66" t="s">
        <v>375</v>
      </c>
    </row>
    <row r="303" spans="1:6" ht="15.75" x14ac:dyDescent="0.2">
      <c r="A303" s="96">
        <v>1355</v>
      </c>
      <c r="B303" s="85" t="s">
        <v>247</v>
      </c>
      <c r="C303" s="86">
        <v>1092757292</v>
      </c>
      <c r="D303" s="80">
        <v>45945</v>
      </c>
      <c r="E303" s="78" t="s">
        <v>472</v>
      </c>
      <c r="F303" s="66" t="s">
        <v>375</v>
      </c>
    </row>
    <row r="304" spans="1:6" ht="15.75" x14ac:dyDescent="0.2">
      <c r="A304" s="96">
        <v>1357</v>
      </c>
      <c r="B304" s="85" t="s">
        <v>248</v>
      </c>
      <c r="C304" s="86">
        <v>1284054271</v>
      </c>
      <c r="D304" s="80">
        <v>45945</v>
      </c>
      <c r="E304" s="78" t="s">
        <v>472</v>
      </c>
      <c r="F304" s="66" t="s">
        <v>380</v>
      </c>
    </row>
    <row r="305" spans="1:6" ht="15.75" x14ac:dyDescent="0.2">
      <c r="A305" s="96">
        <v>1361</v>
      </c>
      <c r="B305" s="85" t="s">
        <v>249</v>
      </c>
      <c r="C305" s="86">
        <v>1229431936</v>
      </c>
      <c r="D305" s="80">
        <v>45945</v>
      </c>
      <c r="E305" s="78" t="s">
        <v>472</v>
      </c>
      <c r="F305" s="66" t="s">
        <v>375</v>
      </c>
    </row>
    <row r="306" spans="1:6" ht="15.75" x14ac:dyDescent="0.2">
      <c r="A306" s="96">
        <v>1362</v>
      </c>
      <c r="B306" s="85" t="s">
        <v>250</v>
      </c>
      <c r="C306" s="86">
        <v>1157351685</v>
      </c>
      <c r="D306" s="80">
        <v>45945</v>
      </c>
      <c r="E306" s="78" t="s">
        <v>472</v>
      </c>
      <c r="F306" s="66" t="s">
        <v>380</v>
      </c>
    </row>
    <row r="307" spans="1:6" ht="15.75" x14ac:dyDescent="0.2">
      <c r="A307" s="96">
        <v>1363</v>
      </c>
      <c r="B307" s="85" t="s">
        <v>251</v>
      </c>
      <c r="C307" s="86">
        <v>1093390899</v>
      </c>
      <c r="D307" s="80">
        <v>45945</v>
      </c>
      <c r="E307" s="78" t="s">
        <v>472</v>
      </c>
      <c r="F307" s="66" t="s">
        <v>377</v>
      </c>
    </row>
    <row r="308" spans="1:6" ht="15.75" x14ac:dyDescent="0.2">
      <c r="A308" s="96">
        <v>1366</v>
      </c>
      <c r="B308" s="85" t="s">
        <v>252</v>
      </c>
      <c r="C308" s="86">
        <v>1281763800</v>
      </c>
      <c r="D308" s="80">
        <v>45945</v>
      </c>
      <c r="E308" s="78" t="s">
        <v>472</v>
      </c>
      <c r="F308" s="66" t="s">
        <v>377</v>
      </c>
    </row>
    <row r="309" spans="1:6" ht="15.75" x14ac:dyDescent="0.2">
      <c r="A309" s="96">
        <v>1367</v>
      </c>
      <c r="B309" s="85" t="s">
        <v>253</v>
      </c>
      <c r="C309" s="86" t="s">
        <v>289</v>
      </c>
      <c r="D309" s="80">
        <v>45945</v>
      </c>
      <c r="E309" s="78" t="s">
        <v>472</v>
      </c>
      <c r="F309" s="66" t="s">
        <v>380</v>
      </c>
    </row>
    <row r="310" spans="1:6" ht="15.75" x14ac:dyDescent="0.2">
      <c r="A310" s="96">
        <v>1368</v>
      </c>
      <c r="B310" s="85" t="s">
        <v>254</v>
      </c>
      <c r="C310" s="86">
        <v>1201342102</v>
      </c>
      <c r="D310" s="80">
        <v>45945</v>
      </c>
      <c r="E310" s="78" t="s">
        <v>472</v>
      </c>
      <c r="F310" s="66" t="s">
        <v>376</v>
      </c>
    </row>
    <row r="311" spans="1:6" ht="15.75" x14ac:dyDescent="0.2">
      <c r="A311" s="96">
        <v>1371</v>
      </c>
      <c r="B311" s="85" t="s">
        <v>255</v>
      </c>
      <c r="C311" s="86">
        <v>1004884250</v>
      </c>
      <c r="D311" s="80">
        <v>45945</v>
      </c>
      <c r="E311" s="78" t="s">
        <v>472</v>
      </c>
      <c r="F311" s="66" t="s">
        <v>375</v>
      </c>
    </row>
    <row r="312" spans="1:6" ht="15.75" x14ac:dyDescent="0.2">
      <c r="A312" s="96">
        <v>1390</v>
      </c>
      <c r="B312" s="85" t="s">
        <v>256</v>
      </c>
      <c r="C312" s="86">
        <v>1117098889</v>
      </c>
      <c r="D312" s="80">
        <v>45963</v>
      </c>
      <c r="E312" s="78" t="s">
        <v>472</v>
      </c>
      <c r="F312" s="66" t="s">
        <v>380</v>
      </c>
    </row>
    <row r="313" spans="1:6" ht="15.75" x14ac:dyDescent="0.2">
      <c r="A313" s="96">
        <v>1391</v>
      </c>
      <c r="B313" s="85" t="s">
        <v>257</v>
      </c>
      <c r="C313" s="86">
        <v>1018487781</v>
      </c>
      <c r="D313" s="80">
        <v>45963</v>
      </c>
      <c r="E313" s="78" t="s">
        <v>472</v>
      </c>
      <c r="F313" s="66" t="s">
        <v>375</v>
      </c>
    </row>
    <row r="314" spans="1:6" ht="15.75" x14ac:dyDescent="0.2">
      <c r="A314" s="96">
        <v>1392</v>
      </c>
      <c r="B314" s="85" t="s">
        <v>258</v>
      </c>
      <c r="C314" s="86">
        <v>1021247876</v>
      </c>
      <c r="D314" s="80">
        <v>45963</v>
      </c>
      <c r="E314" s="78" t="s">
        <v>472</v>
      </c>
      <c r="F314" s="66" t="s">
        <v>375</v>
      </c>
    </row>
    <row r="315" spans="1:6" ht="15.75" x14ac:dyDescent="0.2">
      <c r="A315" s="96">
        <v>1394</v>
      </c>
      <c r="B315" s="85" t="s">
        <v>259</v>
      </c>
      <c r="C315" s="86">
        <v>1014187978</v>
      </c>
      <c r="D315" s="80">
        <v>45963</v>
      </c>
      <c r="E315" s="78" t="s">
        <v>472</v>
      </c>
      <c r="F315" s="66" t="s">
        <v>377</v>
      </c>
    </row>
    <row r="316" spans="1:6" ht="15.75" x14ac:dyDescent="0.2">
      <c r="A316" s="96">
        <v>1418</v>
      </c>
      <c r="B316" s="85" t="s">
        <v>260</v>
      </c>
      <c r="C316" s="86">
        <v>1093730862</v>
      </c>
      <c r="D316" s="80">
        <v>45970</v>
      </c>
      <c r="E316" s="78" t="s">
        <v>472</v>
      </c>
      <c r="F316" s="66" t="s">
        <v>376</v>
      </c>
    </row>
    <row r="317" spans="1:6" ht="15.75" x14ac:dyDescent="0.2">
      <c r="A317" s="96">
        <v>1420</v>
      </c>
      <c r="B317" s="85" t="s">
        <v>261</v>
      </c>
      <c r="C317" s="86">
        <v>1207292405</v>
      </c>
      <c r="D317" s="80">
        <v>45970</v>
      </c>
      <c r="E317" s="78" t="s">
        <v>472</v>
      </c>
      <c r="F317" s="66" t="s">
        <v>380</v>
      </c>
    </row>
    <row r="318" spans="1:6" ht="15.75" x14ac:dyDescent="0.2">
      <c r="A318" s="96">
        <v>1421</v>
      </c>
      <c r="B318" s="85" t="s">
        <v>262</v>
      </c>
      <c r="C318" s="86">
        <v>1122710236</v>
      </c>
      <c r="D318" s="80">
        <v>45970</v>
      </c>
      <c r="E318" s="78" t="s">
        <v>472</v>
      </c>
      <c r="F318" s="66" t="s">
        <v>377</v>
      </c>
    </row>
    <row r="319" spans="1:6" ht="15.75" x14ac:dyDescent="0.2">
      <c r="A319" s="96">
        <v>1422</v>
      </c>
      <c r="B319" s="85" t="s">
        <v>263</v>
      </c>
      <c r="C319" s="86">
        <v>1225652948</v>
      </c>
      <c r="D319" s="80">
        <v>45970</v>
      </c>
      <c r="E319" s="78" t="s">
        <v>472</v>
      </c>
      <c r="F319" s="66" t="s">
        <v>376</v>
      </c>
    </row>
    <row r="320" spans="1:6" ht="15.75" x14ac:dyDescent="0.2">
      <c r="A320" s="96">
        <v>1449</v>
      </c>
      <c r="B320" s="85" t="s">
        <v>286</v>
      </c>
      <c r="C320" s="78">
        <v>1096968911</v>
      </c>
      <c r="D320" s="80">
        <v>46005</v>
      </c>
      <c r="E320" s="78" t="s">
        <v>472</v>
      </c>
      <c r="F320" s="66" t="s">
        <v>380</v>
      </c>
    </row>
    <row r="321" spans="1:6" ht="15.75" x14ac:dyDescent="0.2">
      <c r="A321" s="96">
        <v>1447</v>
      </c>
      <c r="B321" s="85" t="s">
        <v>287</v>
      </c>
      <c r="C321" s="78">
        <v>1017391617</v>
      </c>
      <c r="D321" s="80">
        <v>46005</v>
      </c>
      <c r="E321" s="78" t="s">
        <v>472</v>
      </c>
      <c r="F321" s="66" t="s">
        <v>376</v>
      </c>
    </row>
    <row r="322" spans="1:6" ht="15.75" x14ac:dyDescent="0.2">
      <c r="A322" s="78">
        <v>1467</v>
      </c>
      <c r="B322" s="85" t="s">
        <v>306</v>
      </c>
      <c r="C322" s="86">
        <v>1060908782</v>
      </c>
      <c r="D322" s="80">
        <v>46096</v>
      </c>
      <c r="E322" s="78" t="s">
        <v>472</v>
      </c>
      <c r="F322" s="66" t="s">
        <v>376</v>
      </c>
    </row>
    <row r="323" spans="1:6" ht="15.75" x14ac:dyDescent="0.2">
      <c r="A323" s="91">
        <v>1468</v>
      </c>
      <c r="B323" s="92" t="s">
        <v>307</v>
      </c>
      <c r="C323" s="93">
        <v>1019718363</v>
      </c>
      <c r="D323" s="94">
        <v>46096</v>
      </c>
      <c r="E323" s="78" t="s">
        <v>472</v>
      </c>
      <c r="F323" s="66" t="s">
        <v>377</v>
      </c>
    </row>
    <row r="324" spans="1:6" ht="15.75" x14ac:dyDescent="0.2">
      <c r="A324" s="91">
        <v>1469</v>
      </c>
      <c r="B324" s="92" t="s">
        <v>308</v>
      </c>
      <c r="C324" s="93">
        <v>1099299774</v>
      </c>
      <c r="D324" s="94">
        <v>46096</v>
      </c>
      <c r="E324" s="78" t="s">
        <v>472</v>
      </c>
      <c r="F324" s="66" t="s">
        <v>377</v>
      </c>
    </row>
    <row r="325" spans="1:6" ht="15.75" x14ac:dyDescent="0.2">
      <c r="A325" s="91">
        <v>1470</v>
      </c>
      <c r="B325" s="92" t="s">
        <v>309</v>
      </c>
      <c r="C325" s="93">
        <v>1007004201</v>
      </c>
      <c r="D325" s="94">
        <v>46096</v>
      </c>
      <c r="E325" s="78" t="s">
        <v>472</v>
      </c>
      <c r="F325" s="66" t="s">
        <v>375</v>
      </c>
    </row>
    <row r="326" spans="1:6" ht="15.75" x14ac:dyDescent="0.2">
      <c r="A326" s="91">
        <v>1472</v>
      </c>
      <c r="B326" s="92" t="s">
        <v>311</v>
      </c>
      <c r="C326" s="93">
        <v>1023414549</v>
      </c>
      <c r="D326" s="94">
        <v>46096</v>
      </c>
      <c r="E326" s="78" t="s">
        <v>472</v>
      </c>
      <c r="F326" s="66" t="s">
        <v>377</v>
      </c>
    </row>
    <row r="327" spans="1:6" ht="15.75" x14ac:dyDescent="0.2">
      <c r="A327" s="91">
        <v>1473</v>
      </c>
      <c r="B327" s="92" t="s">
        <v>312</v>
      </c>
      <c r="C327" s="93">
        <v>1067764612</v>
      </c>
      <c r="D327" s="94">
        <v>46096</v>
      </c>
      <c r="E327" s="78" t="s">
        <v>472</v>
      </c>
      <c r="F327" s="66" t="s">
        <v>377</v>
      </c>
    </row>
    <row r="328" spans="1:6" ht="15.75" x14ac:dyDescent="0.2">
      <c r="A328" s="91">
        <v>1474</v>
      </c>
      <c r="B328" s="92" t="s">
        <v>313</v>
      </c>
      <c r="C328" s="93">
        <v>1017836967</v>
      </c>
      <c r="D328" s="94">
        <v>46096</v>
      </c>
      <c r="E328" s="78" t="s">
        <v>472</v>
      </c>
      <c r="F328" s="66" t="s">
        <v>377</v>
      </c>
    </row>
    <row r="329" spans="1:6" ht="15.75" x14ac:dyDescent="0.2">
      <c r="A329" s="91">
        <v>1475</v>
      </c>
      <c r="B329" s="92" t="s">
        <v>314</v>
      </c>
      <c r="C329" s="93">
        <v>1003296345</v>
      </c>
      <c r="D329" s="94">
        <v>46096</v>
      </c>
      <c r="E329" s="78" t="s">
        <v>472</v>
      </c>
      <c r="F329" s="66" t="s">
        <v>376</v>
      </c>
    </row>
    <row r="330" spans="1:6" ht="15.75" x14ac:dyDescent="0.2">
      <c r="A330" s="91">
        <v>1476</v>
      </c>
      <c r="B330" s="92" t="s">
        <v>315</v>
      </c>
      <c r="C330" s="93">
        <v>1024232351</v>
      </c>
      <c r="D330" s="94">
        <v>46096</v>
      </c>
      <c r="E330" s="78" t="s">
        <v>472</v>
      </c>
      <c r="F330" s="66" t="s">
        <v>377</v>
      </c>
    </row>
    <row r="331" spans="1:6" ht="15.75" x14ac:dyDescent="0.2">
      <c r="A331" s="91">
        <v>1477</v>
      </c>
      <c r="B331" s="92" t="s">
        <v>316</v>
      </c>
      <c r="C331" s="93">
        <v>1026246500</v>
      </c>
      <c r="D331" s="94">
        <v>46096</v>
      </c>
      <c r="E331" s="78" t="s">
        <v>472</v>
      </c>
      <c r="F331" s="66" t="s">
        <v>377</v>
      </c>
    </row>
    <row r="332" spans="1:6" ht="15.75" x14ac:dyDescent="0.2">
      <c r="A332" s="91">
        <v>1479</v>
      </c>
      <c r="B332" s="92" t="s">
        <v>317</v>
      </c>
      <c r="C332" s="93">
        <v>1064764040</v>
      </c>
      <c r="D332" s="94">
        <v>46096</v>
      </c>
      <c r="E332" s="78" t="s">
        <v>472</v>
      </c>
      <c r="F332" s="66" t="s">
        <v>380</v>
      </c>
    </row>
    <row r="333" spans="1:6" ht="15.75" x14ac:dyDescent="0.2">
      <c r="A333" s="91">
        <v>1480</v>
      </c>
      <c r="B333" s="92" t="s">
        <v>318</v>
      </c>
      <c r="C333" s="93">
        <v>1068176036</v>
      </c>
      <c r="D333" s="94">
        <v>46096</v>
      </c>
      <c r="E333" s="78" t="s">
        <v>472</v>
      </c>
      <c r="F333" s="66" t="s">
        <v>376</v>
      </c>
    </row>
    <row r="334" spans="1:6" ht="15.75" x14ac:dyDescent="0.2">
      <c r="A334" s="91">
        <v>1481</v>
      </c>
      <c r="B334" s="92" t="s">
        <v>319</v>
      </c>
      <c r="C334" s="93">
        <v>1008052536</v>
      </c>
      <c r="D334" s="94">
        <v>46096</v>
      </c>
      <c r="E334" s="78" t="s">
        <v>472</v>
      </c>
      <c r="F334" s="66" t="s">
        <v>380</v>
      </c>
    </row>
    <row r="335" spans="1:6" ht="15.75" x14ac:dyDescent="0.2">
      <c r="A335" s="91">
        <v>1482</v>
      </c>
      <c r="B335" s="92" t="s">
        <v>320</v>
      </c>
      <c r="C335" s="93">
        <v>1091155534</v>
      </c>
      <c r="D335" s="94">
        <v>46096</v>
      </c>
      <c r="E335" s="78" t="s">
        <v>472</v>
      </c>
      <c r="F335" s="66" t="s">
        <v>380</v>
      </c>
    </row>
    <row r="336" spans="1:6" ht="15.75" x14ac:dyDescent="0.2">
      <c r="A336" s="91">
        <v>1483</v>
      </c>
      <c r="B336" s="92" t="s">
        <v>321</v>
      </c>
      <c r="C336" s="93">
        <v>1016511290</v>
      </c>
      <c r="D336" s="94">
        <v>46096</v>
      </c>
      <c r="E336" s="78" t="s">
        <v>472</v>
      </c>
      <c r="F336" s="66" t="s">
        <v>377</v>
      </c>
    </row>
    <row r="337" spans="1:6" ht="15.75" x14ac:dyDescent="0.2">
      <c r="A337" s="91">
        <v>1484</v>
      </c>
      <c r="B337" s="92" t="s">
        <v>369</v>
      </c>
      <c r="C337" s="93">
        <v>1554278737</v>
      </c>
      <c r="D337" s="94">
        <v>46096</v>
      </c>
      <c r="E337" s="78" t="s">
        <v>472</v>
      </c>
      <c r="F337" s="66" t="s">
        <v>375</v>
      </c>
    </row>
    <row r="338" spans="1:6" ht="15.75" x14ac:dyDescent="0.2">
      <c r="A338" s="91">
        <v>1485</v>
      </c>
      <c r="B338" s="92" t="s">
        <v>322</v>
      </c>
      <c r="C338" s="93">
        <v>1023078693</v>
      </c>
      <c r="D338" s="94">
        <v>46096</v>
      </c>
      <c r="E338" s="78" t="s">
        <v>472</v>
      </c>
      <c r="F338" s="66" t="s">
        <v>375</v>
      </c>
    </row>
    <row r="339" spans="1:6" ht="15.75" x14ac:dyDescent="0.2">
      <c r="A339" s="91">
        <v>1486</v>
      </c>
      <c r="B339" s="92" t="s">
        <v>323</v>
      </c>
      <c r="C339" s="93">
        <v>1069898991</v>
      </c>
      <c r="D339" s="94">
        <v>46096</v>
      </c>
      <c r="E339" s="78" t="s">
        <v>472</v>
      </c>
      <c r="F339" s="66" t="s">
        <v>376</v>
      </c>
    </row>
    <row r="340" spans="1:6" ht="15.75" x14ac:dyDescent="0.2">
      <c r="A340" s="91">
        <v>1487</v>
      </c>
      <c r="B340" s="92" t="s">
        <v>324</v>
      </c>
      <c r="C340" s="93">
        <v>1011293556</v>
      </c>
      <c r="D340" s="94">
        <v>46096</v>
      </c>
      <c r="E340" s="78" t="s">
        <v>472</v>
      </c>
      <c r="F340" s="66" t="s">
        <v>375</v>
      </c>
    </row>
    <row r="341" spans="1:6" ht="15.75" x14ac:dyDescent="0.2">
      <c r="A341" s="91">
        <v>1488</v>
      </c>
      <c r="B341" s="92" t="s">
        <v>325</v>
      </c>
      <c r="C341" s="93">
        <v>1020972749</v>
      </c>
      <c r="D341" s="94">
        <v>46096</v>
      </c>
      <c r="E341" s="78" t="s">
        <v>472</v>
      </c>
      <c r="F341" s="66" t="s">
        <v>376</v>
      </c>
    </row>
    <row r="342" spans="1:6" ht="15.75" x14ac:dyDescent="0.2">
      <c r="A342" s="91">
        <v>1489</v>
      </c>
      <c r="B342" s="92" t="s">
        <v>326</v>
      </c>
      <c r="C342" s="93">
        <v>1204989778</v>
      </c>
      <c r="D342" s="94">
        <v>46096</v>
      </c>
      <c r="E342" s="78" t="s">
        <v>472</v>
      </c>
      <c r="F342" s="66" t="s">
        <v>380</v>
      </c>
    </row>
    <row r="343" spans="1:6" ht="15.75" x14ac:dyDescent="0.2">
      <c r="A343" s="91">
        <v>1506</v>
      </c>
      <c r="B343" s="92" t="s">
        <v>339</v>
      </c>
      <c r="C343" s="93">
        <v>1288492246</v>
      </c>
      <c r="D343" s="94">
        <v>46096</v>
      </c>
      <c r="E343" s="78" t="s">
        <v>472</v>
      </c>
      <c r="F343" s="66" t="s">
        <v>375</v>
      </c>
    </row>
    <row r="344" spans="1:6" ht="15.75" x14ac:dyDescent="0.2">
      <c r="A344" s="91">
        <v>1509</v>
      </c>
      <c r="B344" s="92" t="s">
        <v>342</v>
      </c>
      <c r="C344" s="93">
        <v>1066134566</v>
      </c>
      <c r="D344" s="94">
        <v>46096</v>
      </c>
      <c r="E344" s="78" t="s">
        <v>472</v>
      </c>
      <c r="F344" s="66" t="s">
        <v>375</v>
      </c>
    </row>
    <row r="345" spans="1:6" ht="15.75" x14ac:dyDescent="0.2">
      <c r="A345" s="91">
        <v>1478</v>
      </c>
      <c r="B345" s="92" t="s">
        <v>344</v>
      </c>
      <c r="C345" s="93">
        <v>1024232020</v>
      </c>
      <c r="D345" s="94">
        <v>46096</v>
      </c>
      <c r="E345" s="78" t="s">
        <v>472</v>
      </c>
      <c r="F345" s="66" t="s">
        <v>375</v>
      </c>
    </row>
    <row r="346" spans="1:6" ht="15.75" x14ac:dyDescent="0.2">
      <c r="A346" s="91">
        <v>1510</v>
      </c>
      <c r="B346" s="92" t="s">
        <v>343</v>
      </c>
      <c r="C346" s="93">
        <v>1554278737</v>
      </c>
      <c r="D346" s="94">
        <v>46096</v>
      </c>
      <c r="E346" s="78" t="s">
        <v>472</v>
      </c>
      <c r="F346" s="66" t="s">
        <v>380</v>
      </c>
    </row>
    <row r="347" spans="1:6" ht="15.75" x14ac:dyDescent="0.2">
      <c r="A347" s="91">
        <v>1511</v>
      </c>
      <c r="B347" s="92" t="s">
        <v>345</v>
      </c>
      <c r="C347" s="93">
        <v>1006667261</v>
      </c>
      <c r="D347" s="94">
        <v>46097</v>
      </c>
      <c r="E347" s="78" t="s">
        <v>472</v>
      </c>
      <c r="F347" s="66" t="s">
        <v>375</v>
      </c>
    </row>
    <row r="348" spans="1:6" ht="15.75" x14ac:dyDescent="0.2">
      <c r="A348" s="91">
        <v>1512</v>
      </c>
      <c r="B348" s="92" t="s">
        <v>346</v>
      </c>
      <c r="C348" s="93">
        <v>1064642710</v>
      </c>
      <c r="D348" s="94">
        <v>46098</v>
      </c>
      <c r="E348" s="78" t="s">
        <v>472</v>
      </c>
      <c r="F348" s="66" t="s">
        <v>380</v>
      </c>
    </row>
    <row r="349" spans="1:6" ht="15.75" x14ac:dyDescent="0.2">
      <c r="A349" s="91">
        <v>1514</v>
      </c>
      <c r="B349" s="92" t="s">
        <v>347</v>
      </c>
      <c r="C349" s="93">
        <v>1002465841</v>
      </c>
      <c r="D349" s="94">
        <v>46098</v>
      </c>
      <c r="E349" s="78" t="s">
        <v>472</v>
      </c>
      <c r="F349" s="66" t="s">
        <v>376</v>
      </c>
    </row>
    <row r="350" spans="1:6" ht="15.75" x14ac:dyDescent="0.2">
      <c r="A350" s="97">
        <v>1545</v>
      </c>
      <c r="B350" s="98" t="s">
        <v>393</v>
      </c>
      <c r="C350" s="99">
        <v>1090664527</v>
      </c>
      <c r="D350" s="100">
        <v>46114</v>
      </c>
      <c r="E350" s="81" t="s">
        <v>472</v>
      </c>
      <c r="F350" s="66" t="s">
        <v>376</v>
      </c>
    </row>
    <row r="351" spans="1:6" ht="15.75" x14ac:dyDescent="0.2">
      <c r="A351" s="121" t="s">
        <v>405</v>
      </c>
      <c r="B351" s="121"/>
      <c r="C351" s="121"/>
      <c r="D351" s="121"/>
      <c r="E351" s="121"/>
      <c r="F351" s="121"/>
    </row>
    <row r="352" spans="1:6" ht="15.75" x14ac:dyDescent="0.2">
      <c r="A352" s="62">
        <v>1187</v>
      </c>
      <c r="B352" s="63" t="s">
        <v>403</v>
      </c>
      <c r="C352" s="59" t="s">
        <v>404</v>
      </c>
      <c r="D352" s="64">
        <v>45851</v>
      </c>
      <c r="E352" s="59" t="s">
        <v>405</v>
      </c>
      <c r="F352" s="66" t="s">
        <v>377</v>
      </c>
    </row>
    <row r="353" spans="1:6" ht="15.75" x14ac:dyDescent="0.2">
      <c r="A353" s="62">
        <v>1027</v>
      </c>
      <c r="B353" s="63" t="s">
        <v>406</v>
      </c>
      <c r="C353" s="59" t="s">
        <v>407</v>
      </c>
      <c r="D353" s="64">
        <v>45557</v>
      </c>
      <c r="E353" s="59" t="s">
        <v>405</v>
      </c>
      <c r="F353" s="66" t="s">
        <v>376</v>
      </c>
    </row>
    <row r="354" spans="1:6" ht="15.75" x14ac:dyDescent="0.2">
      <c r="A354" s="62">
        <v>1030</v>
      </c>
      <c r="B354" s="63" t="s">
        <v>408</v>
      </c>
      <c r="C354" s="59" t="s">
        <v>409</v>
      </c>
      <c r="D354" s="64">
        <v>45566</v>
      </c>
      <c r="E354" s="59" t="s">
        <v>405</v>
      </c>
      <c r="F354" s="66" t="s">
        <v>379</v>
      </c>
    </row>
    <row r="355" spans="1:6" ht="15.75" x14ac:dyDescent="0.2">
      <c r="A355" s="62">
        <v>1050</v>
      </c>
      <c r="B355" s="63" t="s">
        <v>410</v>
      </c>
      <c r="C355" s="59" t="s">
        <v>411</v>
      </c>
      <c r="D355" s="64">
        <v>45642</v>
      </c>
      <c r="E355" s="59" t="s">
        <v>405</v>
      </c>
      <c r="F355" s="66" t="s">
        <v>375</v>
      </c>
    </row>
    <row r="356" spans="1:6" ht="15.75" x14ac:dyDescent="0.2">
      <c r="A356" s="121" t="s">
        <v>412</v>
      </c>
      <c r="B356" s="121"/>
      <c r="C356" s="121"/>
      <c r="D356" s="121"/>
      <c r="E356" s="121"/>
      <c r="F356" s="121"/>
    </row>
    <row r="357" spans="1:6" ht="15.75" x14ac:dyDescent="0.2">
      <c r="A357" s="62">
        <v>1103</v>
      </c>
      <c r="B357" s="63" t="s">
        <v>413</v>
      </c>
      <c r="C357" s="101" t="s">
        <v>478</v>
      </c>
      <c r="D357" s="94">
        <v>45781</v>
      </c>
      <c r="E357" s="65" t="s">
        <v>401</v>
      </c>
      <c r="F357" s="66" t="s">
        <v>380</v>
      </c>
    </row>
    <row r="358" spans="1:6" ht="15.75" x14ac:dyDescent="0.2">
      <c r="A358" s="62">
        <v>1105</v>
      </c>
      <c r="B358" s="63" t="s">
        <v>414</v>
      </c>
      <c r="C358" s="101" t="s">
        <v>479</v>
      </c>
      <c r="D358" s="94">
        <v>45782</v>
      </c>
      <c r="E358" s="65" t="s">
        <v>401</v>
      </c>
      <c r="F358" s="66" t="s">
        <v>376</v>
      </c>
    </row>
    <row r="359" spans="1:6" ht="15.75" x14ac:dyDescent="0.2">
      <c r="A359" s="62">
        <v>1181</v>
      </c>
      <c r="B359" s="63" t="s">
        <v>415</v>
      </c>
      <c r="C359" s="101" t="s">
        <v>480</v>
      </c>
      <c r="D359" s="94">
        <v>45839</v>
      </c>
      <c r="E359" s="65" t="s">
        <v>401</v>
      </c>
      <c r="F359" s="66" t="s">
        <v>375</v>
      </c>
    </row>
    <row r="360" spans="1:6" ht="15.75" x14ac:dyDescent="0.2">
      <c r="A360" s="62">
        <v>1208</v>
      </c>
      <c r="B360" s="63" t="s">
        <v>416</v>
      </c>
      <c r="C360" s="101" t="s">
        <v>481</v>
      </c>
      <c r="D360" s="94">
        <v>45872</v>
      </c>
      <c r="E360" s="65" t="s">
        <v>401</v>
      </c>
      <c r="F360" s="66" t="s">
        <v>377</v>
      </c>
    </row>
    <row r="361" spans="1:6" ht="15.75" x14ac:dyDescent="0.2">
      <c r="A361" s="62">
        <v>1378</v>
      </c>
      <c r="B361" s="63" t="s">
        <v>417</v>
      </c>
      <c r="C361" s="101" t="s">
        <v>482</v>
      </c>
      <c r="D361" s="94">
        <v>45963</v>
      </c>
      <c r="E361" s="65" t="s">
        <v>401</v>
      </c>
      <c r="F361" s="66" t="s">
        <v>380</v>
      </c>
    </row>
    <row r="362" spans="1:6" ht="15.75" x14ac:dyDescent="0.2">
      <c r="A362" s="62">
        <v>1091</v>
      </c>
      <c r="B362" s="63" t="s">
        <v>418</v>
      </c>
      <c r="C362" s="101" t="s">
        <v>483</v>
      </c>
      <c r="D362" s="94">
        <v>45753</v>
      </c>
      <c r="E362" s="65" t="s">
        <v>401</v>
      </c>
      <c r="F362" s="66" t="s">
        <v>376</v>
      </c>
    </row>
    <row r="363" spans="1:6" ht="15.75" x14ac:dyDescent="0.2">
      <c r="A363" s="62">
        <v>1125</v>
      </c>
      <c r="B363" s="63" t="s">
        <v>419</v>
      </c>
      <c r="C363" s="101" t="s">
        <v>484</v>
      </c>
      <c r="D363" s="94">
        <v>45809</v>
      </c>
      <c r="E363" s="65" t="s">
        <v>401</v>
      </c>
      <c r="F363" s="66" t="s">
        <v>380</v>
      </c>
    </row>
    <row r="364" spans="1:6" ht="15.75" x14ac:dyDescent="0.2">
      <c r="A364" s="62">
        <v>1162</v>
      </c>
      <c r="B364" s="63" t="s">
        <v>420</v>
      </c>
      <c r="C364" s="101" t="s">
        <v>485</v>
      </c>
      <c r="D364" s="94">
        <v>45823</v>
      </c>
      <c r="E364" s="65" t="s">
        <v>401</v>
      </c>
      <c r="F364" s="66" t="s">
        <v>375</v>
      </c>
    </row>
    <row r="365" spans="1:6" ht="15.75" x14ac:dyDescent="0.2">
      <c r="A365" s="62">
        <v>1207</v>
      </c>
      <c r="B365" s="63" t="s">
        <v>421</v>
      </c>
      <c r="C365" s="101" t="s">
        <v>486</v>
      </c>
      <c r="D365" s="94">
        <v>45872</v>
      </c>
      <c r="E365" s="65" t="s">
        <v>401</v>
      </c>
      <c r="F365" s="66" t="s">
        <v>376</v>
      </c>
    </row>
    <row r="366" spans="1:6" ht="15.75" x14ac:dyDescent="0.2">
      <c r="A366" s="62">
        <v>1377</v>
      </c>
      <c r="B366" s="63" t="s">
        <v>422</v>
      </c>
      <c r="C366" s="101">
        <v>1008167806</v>
      </c>
      <c r="D366" s="94">
        <v>45963</v>
      </c>
      <c r="E366" s="65" t="s">
        <v>401</v>
      </c>
      <c r="F366" s="66" t="s">
        <v>375</v>
      </c>
    </row>
    <row r="367" spans="1:6" ht="15.75" x14ac:dyDescent="0.2">
      <c r="A367" s="62">
        <v>1104</v>
      </c>
      <c r="B367" s="63" t="s">
        <v>423</v>
      </c>
      <c r="C367" s="101" t="s">
        <v>487</v>
      </c>
      <c r="D367" s="94">
        <v>45781</v>
      </c>
      <c r="E367" s="65" t="s">
        <v>401</v>
      </c>
      <c r="F367" s="66" t="s">
        <v>377</v>
      </c>
    </row>
    <row r="368" spans="1:6" ht="15.75" x14ac:dyDescent="0.2">
      <c r="A368" s="62" t="s">
        <v>424</v>
      </c>
      <c r="B368" s="63" t="s">
        <v>425</v>
      </c>
      <c r="C368" s="101" t="s">
        <v>488</v>
      </c>
      <c r="D368" s="94">
        <v>45839</v>
      </c>
      <c r="E368" s="65" t="s">
        <v>401</v>
      </c>
      <c r="F368" s="66" t="s">
        <v>380</v>
      </c>
    </row>
    <row r="369" spans="1:6" ht="15.75" x14ac:dyDescent="0.2">
      <c r="A369" s="62">
        <v>1198</v>
      </c>
      <c r="B369" s="63" t="s">
        <v>426</v>
      </c>
      <c r="C369" s="101" t="s">
        <v>489</v>
      </c>
      <c r="D369" s="94">
        <v>45872</v>
      </c>
      <c r="E369" s="65" t="s">
        <v>401</v>
      </c>
      <c r="F369" s="66" t="s">
        <v>377</v>
      </c>
    </row>
    <row r="370" spans="1:6" ht="15.75" x14ac:dyDescent="0.2">
      <c r="A370" s="62">
        <v>1379</v>
      </c>
      <c r="B370" s="63" t="s">
        <v>427</v>
      </c>
      <c r="C370" s="101" t="s">
        <v>490</v>
      </c>
      <c r="D370" s="94">
        <v>45963</v>
      </c>
      <c r="E370" s="65" t="s">
        <v>401</v>
      </c>
      <c r="F370" s="66" t="s">
        <v>375</v>
      </c>
    </row>
    <row r="371" spans="1:6" ht="15.75" x14ac:dyDescent="0.2">
      <c r="A371" s="62">
        <v>1101</v>
      </c>
      <c r="B371" s="63" t="s">
        <v>428</v>
      </c>
      <c r="C371" s="101" t="s">
        <v>491</v>
      </c>
      <c r="D371" s="94">
        <v>45781</v>
      </c>
      <c r="E371" s="65" t="s">
        <v>401</v>
      </c>
      <c r="F371" s="66" t="s">
        <v>380</v>
      </c>
    </row>
    <row r="372" spans="1:6" ht="15.75" x14ac:dyDescent="0.2">
      <c r="A372" s="62">
        <v>1108</v>
      </c>
      <c r="B372" s="63" t="s">
        <v>429</v>
      </c>
      <c r="C372" s="101" t="s">
        <v>492</v>
      </c>
      <c r="D372" s="94">
        <v>45799</v>
      </c>
      <c r="E372" s="65" t="s">
        <v>401</v>
      </c>
      <c r="F372" s="66" t="s">
        <v>375</v>
      </c>
    </row>
    <row r="373" spans="1:6" ht="15.75" x14ac:dyDescent="0.2">
      <c r="A373" s="62">
        <v>1197</v>
      </c>
      <c r="B373" s="63" t="s">
        <v>430</v>
      </c>
      <c r="C373" s="101" t="s">
        <v>493</v>
      </c>
      <c r="D373" s="94">
        <v>45872</v>
      </c>
      <c r="E373" s="65" t="s">
        <v>401</v>
      </c>
      <c r="F373" s="66" t="s">
        <v>377</v>
      </c>
    </row>
    <row r="374" spans="1:6" ht="15.75" x14ac:dyDescent="0.2">
      <c r="A374" s="62">
        <v>1204</v>
      </c>
      <c r="B374" s="63" t="s">
        <v>431</v>
      </c>
      <c r="C374" s="101" t="s">
        <v>494</v>
      </c>
      <c r="D374" s="94">
        <v>45872</v>
      </c>
      <c r="E374" s="65" t="s">
        <v>401</v>
      </c>
      <c r="F374" s="66" t="s">
        <v>377</v>
      </c>
    </row>
    <row r="375" spans="1:6" ht="15.75" x14ac:dyDescent="0.2">
      <c r="A375" s="62">
        <v>1205</v>
      </c>
      <c r="B375" s="63" t="s">
        <v>432</v>
      </c>
      <c r="C375" s="101" t="s">
        <v>495</v>
      </c>
      <c r="D375" s="94">
        <v>45872</v>
      </c>
      <c r="E375" s="65" t="s">
        <v>401</v>
      </c>
      <c r="F375" s="66" t="s">
        <v>376</v>
      </c>
    </row>
    <row r="376" spans="1:6" ht="15.75" x14ac:dyDescent="0.2">
      <c r="A376" s="62" t="s">
        <v>433</v>
      </c>
      <c r="B376" s="63" t="s">
        <v>434</v>
      </c>
      <c r="C376" s="101" t="s">
        <v>435</v>
      </c>
      <c r="D376" s="94">
        <v>45839</v>
      </c>
      <c r="E376" s="65" t="s">
        <v>401</v>
      </c>
      <c r="F376" s="66" t="s">
        <v>379</v>
      </c>
    </row>
    <row r="377" spans="1:6" ht="15.75" x14ac:dyDescent="0.2">
      <c r="A377" s="121" t="s">
        <v>436</v>
      </c>
      <c r="B377" s="121"/>
      <c r="C377" s="121"/>
      <c r="D377" s="121"/>
      <c r="E377" s="121"/>
      <c r="F377" s="121"/>
    </row>
    <row r="378" spans="1:6" ht="15.75" x14ac:dyDescent="0.2">
      <c r="A378" s="62">
        <v>1267</v>
      </c>
      <c r="B378" s="63" t="s">
        <v>437</v>
      </c>
      <c r="C378" s="101" t="s">
        <v>514</v>
      </c>
      <c r="D378" s="94">
        <v>45915</v>
      </c>
      <c r="E378" s="65" t="s">
        <v>402</v>
      </c>
      <c r="F378" s="59" t="s">
        <v>380</v>
      </c>
    </row>
    <row r="379" spans="1:6" ht="15.75" x14ac:dyDescent="0.2">
      <c r="A379" s="62">
        <v>1268</v>
      </c>
      <c r="B379" s="63" t="s">
        <v>438</v>
      </c>
      <c r="C379" s="101" t="s">
        <v>515</v>
      </c>
      <c r="D379" s="94">
        <v>45915</v>
      </c>
      <c r="E379" s="65" t="s">
        <v>402</v>
      </c>
      <c r="F379" s="59" t="s">
        <v>380</v>
      </c>
    </row>
    <row r="380" spans="1:6" ht="15.75" x14ac:dyDescent="0.2">
      <c r="A380" s="62">
        <v>1340</v>
      </c>
      <c r="B380" s="63" t="s">
        <v>439</v>
      </c>
      <c r="C380" s="101" t="s">
        <v>517</v>
      </c>
      <c r="D380" s="94">
        <v>45945</v>
      </c>
      <c r="E380" s="65" t="s">
        <v>402</v>
      </c>
      <c r="F380" s="59" t="s">
        <v>380</v>
      </c>
    </row>
    <row r="381" spans="1:6" ht="15.75" x14ac:dyDescent="0.2">
      <c r="A381" s="65">
        <v>1369</v>
      </c>
      <c r="B381" s="69" t="s">
        <v>440</v>
      </c>
      <c r="C381" s="101" t="s">
        <v>519</v>
      </c>
      <c r="D381" s="94">
        <v>45945</v>
      </c>
      <c r="E381" s="65" t="s">
        <v>402</v>
      </c>
      <c r="F381" s="59" t="s">
        <v>377</v>
      </c>
    </row>
    <row r="382" spans="1:6" ht="15.75" x14ac:dyDescent="0.2">
      <c r="A382" s="65">
        <v>1431</v>
      </c>
      <c r="B382" s="69" t="s">
        <v>441</v>
      </c>
      <c r="C382" s="102" t="s">
        <v>528</v>
      </c>
      <c r="D382" s="94">
        <v>45992</v>
      </c>
      <c r="E382" s="65" t="s">
        <v>402</v>
      </c>
      <c r="F382" s="59" t="s">
        <v>380</v>
      </c>
    </row>
    <row r="383" spans="1:6" ht="15.75" x14ac:dyDescent="0.2">
      <c r="A383" s="65">
        <v>1442</v>
      </c>
      <c r="B383" s="69" t="s">
        <v>442</v>
      </c>
      <c r="C383" s="102" t="s">
        <v>527</v>
      </c>
      <c r="D383" s="94">
        <v>45992</v>
      </c>
      <c r="E383" s="65" t="s">
        <v>402</v>
      </c>
      <c r="F383" s="59" t="s">
        <v>380</v>
      </c>
    </row>
    <row r="384" spans="1:6" ht="15.75" x14ac:dyDescent="0.2">
      <c r="A384" s="62">
        <v>1364</v>
      </c>
      <c r="B384" s="63" t="s">
        <v>443</v>
      </c>
      <c r="C384" s="102" t="s">
        <v>530</v>
      </c>
      <c r="D384" s="94" t="s">
        <v>496</v>
      </c>
      <c r="E384" s="65" t="s">
        <v>402</v>
      </c>
      <c r="F384" s="59" t="s">
        <v>380</v>
      </c>
    </row>
    <row r="385" spans="1:6" ht="15.75" x14ac:dyDescent="0.2">
      <c r="A385" s="65">
        <v>1458</v>
      </c>
      <c r="B385" s="69" t="s">
        <v>444</v>
      </c>
      <c r="C385" s="102" t="s">
        <v>531</v>
      </c>
      <c r="D385" s="94" t="s">
        <v>496</v>
      </c>
      <c r="E385" s="65" t="s">
        <v>402</v>
      </c>
      <c r="F385" s="59" t="s">
        <v>380</v>
      </c>
    </row>
    <row r="386" spans="1:6" ht="15.75" x14ac:dyDescent="0.2">
      <c r="A386" s="62">
        <v>1286</v>
      </c>
      <c r="B386" s="63" t="s">
        <v>445</v>
      </c>
      <c r="C386" s="102" t="s">
        <v>510</v>
      </c>
      <c r="D386" s="94">
        <v>45923</v>
      </c>
      <c r="E386" s="65" t="s">
        <v>402</v>
      </c>
      <c r="F386" s="59" t="s">
        <v>376</v>
      </c>
    </row>
    <row r="387" spans="1:6" ht="15.75" x14ac:dyDescent="0.2">
      <c r="A387" s="62">
        <v>1349</v>
      </c>
      <c r="B387" s="63" t="s">
        <v>446</v>
      </c>
      <c r="C387" s="102" t="s">
        <v>512</v>
      </c>
      <c r="D387" s="94">
        <v>45945</v>
      </c>
      <c r="E387" s="65" t="s">
        <v>402</v>
      </c>
      <c r="F387" s="59" t="s">
        <v>377</v>
      </c>
    </row>
    <row r="388" spans="1:6" ht="15.75" x14ac:dyDescent="0.2">
      <c r="A388" s="62">
        <v>1356</v>
      </c>
      <c r="B388" s="63" t="s">
        <v>447</v>
      </c>
      <c r="C388" s="102" t="s">
        <v>513</v>
      </c>
      <c r="D388" s="94">
        <v>45945</v>
      </c>
      <c r="E388" s="65" t="s">
        <v>402</v>
      </c>
      <c r="F388" s="59" t="s">
        <v>377</v>
      </c>
    </row>
    <row r="389" spans="1:6" ht="15.75" x14ac:dyDescent="0.2">
      <c r="A389" s="62">
        <v>1444</v>
      </c>
      <c r="B389" s="63" t="s">
        <v>448</v>
      </c>
      <c r="C389" s="102" t="s">
        <v>526</v>
      </c>
      <c r="D389" s="94">
        <v>45992</v>
      </c>
      <c r="E389" s="65" t="s">
        <v>402</v>
      </c>
      <c r="F389" s="59" t="s">
        <v>377</v>
      </c>
    </row>
    <row r="390" spans="1:6" ht="15.75" x14ac:dyDescent="0.2">
      <c r="A390" s="62">
        <v>1451</v>
      </c>
      <c r="B390" s="63" t="s">
        <v>449</v>
      </c>
      <c r="C390" s="102" t="s">
        <v>521</v>
      </c>
      <c r="D390" s="94" t="s">
        <v>496</v>
      </c>
      <c r="E390" s="65" t="s">
        <v>402</v>
      </c>
      <c r="F390" s="59" t="s">
        <v>377</v>
      </c>
    </row>
    <row r="391" spans="1:6" ht="15" customHeight="1" x14ac:dyDescent="0.2">
      <c r="A391" s="62">
        <v>1358</v>
      </c>
      <c r="B391" s="63" t="s">
        <v>450</v>
      </c>
      <c r="C391" s="102" t="s">
        <v>518</v>
      </c>
      <c r="D391" s="94">
        <v>45945</v>
      </c>
      <c r="E391" s="65" t="s">
        <v>402</v>
      </c>
      <c r="F391" s="59" t="s">
        <v>377</v>
      </c>
    </row>
    <row r="392" spans="1:6" ht="15.75" x14ac:dyDescent="0.2">
      <c r="A392" s="62">
        <v>1259</v>
      </c>
      <c r="B392" s="63" t="s">
        <v>451</v>
      </c>
      <c r="C392" s="102" t="s">
        <v>503</v>
      </c>
      <c r="D392" s="94">
        <v>45914</v>
      </c>
      <c r="E392" s="65" t="s">
        <v>402</v>
      </c>
      <c r="F392" s="59" t="s">
        <v>377</v>
      </c>
    </row>
    <row r="393" spans="1:6" ht="15.75" x14ac:dyDescent="0.2">
      <c r="A393" s="62">
        <v>1462</v>
      </c>
      <c r="B393" s="63" t="s">
        <v>452</v>
      </c>
      <c r="C393" s="102" t="s">
        <v>525</v>
      </c>
      <c r="D393" s="94" t="s">
        <v>496</v>
      </c>
      <c r="E393" s="65" t="s">
        <v>402</v>
      </c>
      <c r="F393" s="59" t="s">
        <v>377</v>
      </c>
    </row>
    <row r="394" spans="1:6" ht="15.75" x14ac:dyDescent="0.2">
      <c r="A394" s="67">
        <v>1265</v>
      </c>
      <c r="B394" s="68" t="s">
        <v>453</v>
      </c>
      <c r="C394" s="102" t="s">
        <v>504</v>
      </c>
      <c r="D394" s="94">
        <v>45915</v>
      </c>
      <c r="E394" s="65" t="s">
        <v>402</v>
      </c>
      <c r="F394" s="59" t="s">
        <v>376</v>
      </c>
    </row>
    <row r="395" spans="1:6" ht="15.75" x14ac:dyDescent="0.2">
      <c r="A395" s="67">
        <v>1264</v>
      </c>
      <c r="B395" s="68" t="s">
        <v>454</v>
      </c>
      <c r="C395" s="102" t="s">
        <v>506</v>
      </c>
      <c r="D395" s="94">
        <v>45945</v>
      </c>
      <c r="E395" s="65" t="s">
        <v>402</v>
      </c>
      <c r="F395" s="59" t="s">
        <v>379</v>
      </c>
    </row>
    <row r="396" spans="1:6" ht="15.75" x14ac:dyDescent="0.2">
      <c r="A396" s="67">
        <v>1359</v>
      </c>
      <c r="B396" s="68" t="s">
        <v>455</v>
      </c>
      <c r="C396" s="102" t="s">
        <v>505</v>
      </c>
      <c r="D396" s="94">
        <v>45945</v>
      </c>
      <c r="E396" s="65" t="s">
        <v>402</v>
      </c>
      <c r="F396" s="59" t="s">
        <v>376</v>
      </c>
    </row>
    <row r="397" spans="1:6" ht="15.75" x14ac:dyDescent="0.2">
      <c r="A397" s="67">
        <v>1434</v>
      </c>
      <c r="B397" s="68" t="s">
        <v>456</v>
      </c>
      <c r="C397" s="102" t="s">
        <v>508</v>
      </c>
      <c r="D397" s="94">
        <v>45992</v>
      </c>
      <c r="E397" s="65" t="s">
        <v>402</v>
      </c>
      <c r="F397" s="59" t="s">
        <v>376</v>
      </c>
    </row>
    <row r="398" spans="1:6" ht="15.75" x14ac:dyDescent="0.2">
      <c r="A398" s="67">
        <v>1452</v>
      </c>
      <c r="B398" s="68" t="s">
        <v>457</v>
      </c>
      <c r="C398" s="102" t="s">
        <v>522</v>
      </c>
      <c r="D398" s="94" t="s">
        <v>496</v>
      </c>
      <c r="E398" s="65" t="s">
        <v>402</v>
      </c>
      <c r="F398" s="59" t="s">
        <v>376</v>
      </c>
    </row>
    <row r="399" spans="1:6" ht="15.75" x14ac:dyDescent="0.2">
      <c r="A399" s="67">
        <v>1332</v>
      </c>
      <c r="B399" s="68" t="s">
        <v>458</v>
      </c>
      <c r="C399" s="102" t="s">
        <v>516</v>
      </c>
      <c r="D399" s="94">
        <v>45931</v>
      </c>
      <c r="E399" s="65" t="s">
        <v>402</v>
      </c>
      <c r="F399" s="59" t="s">
        <v>377</v>
      </c>
    </row>
    <row r="400" spans="1:6" ht="15.75" x14ac:dyDescent="0.2">
      <c r="A400" s="67">
        <v>1348</v>
      </c>
      <c r="B400" s="68" t="s">
        <v>459</v>
      </c>
      <c r="C400" s="102" t="s">
        <v>511</v>
      </c>
      <c r="D400" s="94">
        <v>45945</v>
      </c>
      <c r="E400" s="65" t="s">
        <v>402</v>
      </c>
      <c r="F400" s="59" t="s">
        <v>376</v>
      </c>
    </row>
    <row r="401" spans="1:6" ht="15.75" x14ac:dyDescent="0.2">
      <c r="A401" s="67">
        <v>1461</v>
      </c>
      <c r="B401" s="68" t="s">
        <v>460</v>
      </c>
      <c r="C401" s="102" t="s">
        <v>532</v>
      </c>
      <c r="D401" s="94" t="s">
        <v>496</v>
      </c>
      <c r="E401" s="65" t="s">
        <v>402</v>
      </c>
      <c r="F401" s="59" t="s">
        <v>376</v>
      </c>
    </row>
    <row r="402" spans="1:6" ht="15.75" x14ac:dyDescent="0.2">
      <c r="A402" s="62">
        <v>1254</v>
      </c>
      <c r="B402" s="63" t="s">
        <v>461</v>
      </c>
      <c r="C402" s="102" t="s">
        <v>497</v>
      </c>
      <c r="D402" s="94">
        <v>45901</v>
      </c>
      <c r="E402" s="65" t="s">
        <v>402</v>
      </c>
      <c r="F402" s="59" t="s">
        <v>375</v>
      </c>
    </row>
    <row r="403" spans="1:6" ht="15.75" x14ac:dyDescent="0.2">
      <c r="A403" s="62">
        <v>1341</v>
      </c>
      <c r="B403" s="63" t="s">
        <v>462</v>
      </c>
      <c r="C403" s="102" t="s">
        <v>498</v>
      </c>
      <c r="D403" s="94">
        <v>45945</v>
      </c>
      <c r="E403" s="65" t="s">
        <v>402</v>
      </c>
      <c r="F403" s="59" t="s">
        <v>375</v>
      </c>
    </row>
    <row r="404" spans="1:6" ht="15.75" x14ac:dyDescent="0.2">
      <c r="A404" s="62">
        <v>1347</v>
      </c>
      <c r="B404" s="63" t="s">
        <v>463</v>
      </c>
      <c r="C404" s="102" t="s">
        <v>499</v>
      </c>
      <c r="D404" s="94">
        <v>45945</v>
      </c>
      <c r="E404" s="65" t="s">
        <v>402</v>
      </c>
      <c r="F404" s="59" t="s">
        <v>375</v>
      </c>
    </row>
    <row r="405" spans="1:6" ht="15.75" x14ac:dyDescent="0.2">
      <c r="A405" s="65">
        <v>1360</v>
      </c>
      <c r="B405" s="69" t="s">
        <v>464</v>
      </c>
      <c r="C405" s="102" t="s">
        <v>500</v>
      </c>
      <c r="D405" s="94">
        <v>45945</v>
      </c>
      <c r="E405" s="65" t="s">
        <v>402</v>
      </c>
      <c r="F405" s="59" t="s">
        <v>375</v>
      </c>
    </row>
    <row r="406" spans="1:6" ht="15.75" x14ac:dyDescent="0.2">
      <c r="A406" s="65">
        <v>1432</v>
      </c>
      <c r="B406" s="69" t="s">
        <v>465</v>
      </c>
      <c r="C406" s="102" t="s">
        <v>501</v>
      </c>
      <c r="D406" s="94">
        <v>45992</v>
      </c>
      <c r="E406" s="65" t="s">
        <v>402</v>
      </c>
      <c r="F406" s="59" t="s">
        <v>380</v>
      </c>
    </row>
    <row r="407" spans="1:6" ht="15.75" x14ac:dyDescent="0.2">
      <c r="A407" s="62">
        <v>1380</v>
      </c>
      <c r="B407" s="63" t="s">
        <v>466</v>
      </c>
      <c r="C407" s="102" t="s">
        <v>502</v>
      </c>
      <c r="D407" s="94">
        <v>45963</v>
      </c>
      <c r="E407" s="65" t="s">
        <v>402</v>
      </c>
      <c r="F407" s="59" t="s">
        <v>375</v>
      </c>
    </row>
    <row r="408" spans="1:6" ht="15.75" x14ac:dyDescent="0.2">
      <c r="A408" s="62">
        <v>1456</v>
      </c>
      <c r="B408" s="63" t="s">
        <v>467</v>
      </c>
      <c r="C408" s="102" t="s">
        <v>523</v>
      </c>
      <c r="D408" s="94" t="s">
        <v>496</v>
      </c>
      <c r="E408" s="65" t="s">
        <v>402</v>
      </c>
      <c r="F408" s="59" t="s">
        <v>375</v>
      </c>
    </row>
    <row r="409" spans="1:6" ht="15.75" x14ac:dyDescent="0.2">
      <c r="A409" s="65">
        <v>1433</v>
      </c>
      <c r="B409" s="69" t="s">
        <v>468</v>
      </c>
      <c r="C409" s="102" t="s">
        <v>507</v>
      </c>
      <c r="D409" s="94">
        <v>45992</v>
      </c>
      <c r="E409" s="65" t="s">
        <v>402</v>
      </c>
      <c r="F409" s="59" t="s">
        <v>375</v>
      </c>
    </row>
    <row r="410" spans="1:6" ht="15.75" x14ac:dyDescent="0.2">
      <c r="A410" s="65">
        <v>1495</v>
      </c>
      <c r="B410" s="69" t="s">
        <v>391</v>
      </c>
      <c r="C410" s="102" t="s">
        <v>524</v>
      </c>
      <c r="D410" s="94" t="s">
        <v>496</v>
      </c>
      <c r="E410" s="65" t="s">
        <v>402</v>
      </c>
      <c r="F410" s="59" t="s">
        <v>375</v>
      </c>
    </row>
    <row r="411" spans="1:6" ht="15.75" x14ac:dyDescent="0.2">
      <c r="A411" s="65">
        <v>1460</v>
      </c>
      <c r="B411" s="69" t="s">
        <v>475</v>
      </c>
      <c r="C411" s="102" t="s">
        <v>529</v>
      </c>
      <c r="D411" s="94" t="s">
        <v>496</v>
      </c>
      <c r="E411" s="65" t="s">
        <v>476</v>
      </c>
      <c r="F411" s="59" t="s">
        <v>379</v>
      </c>
    </row>
    <row r="412" spans="1:6" ht="15.75" x14ac:dyDescent="0.2">
      <c r="A412" s="65">
        <v>1255</v>
      </c>
      <c r="B412" s="69" t="s">
        <v>477</v>
      </c>
      <c r="C412" s="102" t="s">
        <v>509</v>
      </c>
      <c r="D412" s="94">
        <v>45901</v>
      </c>
      <c r="E412" s="65" t="s">
        <v>402</v>
      </c>
      <c r="F412" s="59" t="s">
        <v>379</v>
      </c>
    </row>
    <row r="413" spans="1:6" ht="15.75" x14ac:dyDescent="0.2">
      <c r="A413" s="65">
        <v>1124</v>
      </c>
      <c r="B413" s="69" t="s">
        <v>474</v>
      </c>
      <c r="C413" s="102" t="s">
        <v>520</v>
      </c>
      <c r="D413" s="94">
        <v>45809</v>
      </c>
      <c r="E413" s="65" t="s">
        <v>470</v>
      </c>
      <c r="F413" s="59" t="s">
        <v>379</v>
      </c>
    </row>
    <row r="414" spans="1:6" ht="15.75" x14ac:dyDescent="0.2">
      <c r="A414" s="65">
        <v>1033</v>
      </c>
      <c r="B414" s="69" t="s">
        <v>473</v>
      </c>
      <c r="C414" s="102" t="s">
        <v>496</v>
      </c>
      <c r="D414" s="94" t="s">
        <v>496</v>
      </c>
      <c r="E414" s="65" t="s">
        <v>400</v>
      </c>
      <c r="F414" s="59" t="s">
        <v>379</v>
      </c>
    </row>
  </sheetData>
  <protectedRanges>
    <protectedRange sqref="B157" name="Range1"/>
  </protectedRanges>
  <mergeCells count="127">
    <mergeCell ref="A377:F377"/>
    <mergeCell ref="I59:J59"/>
    <mergeCell ref="M59:N59"/>
    <mergeCell ref="M60:N60"/>
    <mergeCell ref="M61:N61"/>
    <mergeCell ref="M62:N62"/>
    <mergeCell ref="I60:J60"/>
    <mergeCell ref="A351:F351"/>
    <mergeCell ref="A356:F356"/>
    <mergeCell ref="A262:F262"/>
    <mergeCell ref="A69:E69"/>
    <mergeCell ref="A75:F75"/>
    <mergeCell ref="A127:F127"/>
    <mergeCell ref="A248:F248"/>
    <mergeCell ref="P39:P40"/>
    <mergeCell ref="P41:P42"/>
    <mergeCell ref="I38:J38"/>
    <mergeCell ref="I39:J39"/>
    <mergeCell ref="I46:J46"/>
    <mergeCell ref="I50:J50"/>
    <mergeCell ref="I51:J51"/>
    <mergeCell ref="I52:J52"/>
    <mergeCell ref="I53:J53"/>
    <mergeCell ref="M46:N46"/>
    <mergeCell ref="I49:J49"/>
    <mergeCell ref="M49:N49"/>
    <mergeCell ref="M50:N50"/>
    <mergeCell ref="M51:N51"/>
    <mergeCell ref="I45:J45"/>
    <mergeCell ref="I43:J43"/>
    <mergeCell ref="I42:J42"/>
    <mergeCell ref="I44:J44"/>
    <mergeCell ref="M52:N52"/>
    <mergeCell ref="M41:N41"/>
    <mergeCell ref="M44:N44"/>
    <mergeCell ref="M45:N45"/>
    <mergeCell ref="M43:N43"/>
    <mergeCell ref="M42:N42"/>
    <mergeCell ref="J1:L2"/>
    <mergeCell ref="M1:M2"/>
    <mergeCell ref="H3:P5"/>
    <mergeCell ref="A43:F43"/>
    <mergeCell ref="A59:F59"/>
    <mergeCell ref="A32:F32"/>
    <mergeCell ref="A3:F3"/>
    <mergeCell ref="A14:F14"/>
    <mergeCell ref="A9:F9"/>
    <mergeCell ref="I32:J32"/>
    <mergeCell ref="L17:L18"/>
    <mergeCell ref="L19:L20"/>
    <mergeCell ref="I6:K6"/>
    <mergeCell ref="M12:N12"/>
    <mergeCell ref="I12:J12"/>
    <mergeCell ref="I13:J13"/>
    <mergeCell ref="I14:J14"/>
    <mergeCell ref="I15:J15"/>
    <mergeCell ref="I55:J55"/>
    <mergeCell ref="M55:N55"/>
    <mergeCell ref="M32:N32"/>
    <mergeCell ref="M33:N33"/>
    <mergeCell ref="M34:N34"/>
    <mergeCell ref="M35:N35"/>
    <mergeCell ref="M6:O6"/>
    <mergeCell ref="M14:N14"/>
    <mergeCell ref="M15:N15"/>
    <mergeCell ref="M16:N16"/>
    <mergeCell ref="I7:J7"/>
    <mergeCell ref="I29:J29"/>
    <mergeCell ref="M29:N29"/>
    <mergeCell ref="M7:N7"/>
    <mergeCell ref="I54:J54"/>
    <mergeCell ref="M36:N36"/>
    <mergeCell ref="M37:N37"/>
    <mergeCell ref="M38:N38"/>
    <mergeCell ref="M39:N39"/>
    <mergeCell ref="L39:L40"/>
    <mergeCell ref="I34:J34"/>
    <mergeCell ref="I35:J35"/>
    <mergeCell ref="I36:J36"/>
    <mergeCell ref="I37:J37"/>
    <mergeCell ref="I33:J33"/>
    <mergeCell ref="M40:N40"/>
    <mergeCell ref="I40:J40"/>
    <mergeCell ref="M58:N58"/>
    <mergeCell ref="I58:J58"/>
    <mergeCell ref="M8:N8"/>
    <mergeCell ref="M9:N9"/>
    <mergeCell ref="M10:N10"/>
    <mergeCell ref="I8:J8"/>
    <mergeCell ref="I9:J9"/>
    <mergeCell ref="I10:J10"/>
    <mergeCell ref="I11:J11"/>
    <mergeCell ref="M11:N11"/>
    <mergeCell ref="M13:N13"/>
    <mergeCell ref="N56:O56"/>
    <mergeCell ref="N57:O57"/>
    <mergeCell ref="I41:J41"/>
    <mergeCell ref="L41:L42"/>
    <mergeCell ref="M53:N53"/>
    <mergeCell ref="M54:N54"/>
    <mergeCell ref="I16:J16"/>
    <mergeCell ref="J56:K56"/>
    <mergeCell ref="J57:K57"/>
    <mergeCell ref="P17:P18"/>
    <mergeCell ref="P19:P20"/>
    <mergeCell ref="I31:J31"/>
    <mergeCell ref="M31:N31"/>
    <mergeCell ref="M17:N17"/>
    <mergeCell ref="M18:N18"/>
    <mergeCell ref="M19:N19"/>
    <mergeCell ref="M20:N20"/>
    <mergeCell ref="M21:N21"/>
    <mergeCell ref="I20:J20"/>
    <mergeCell ref="I21:J21"/>
    <mergeCell ref="I17:J17"/>
    <mergeCell ref="I19:J19"/>
    <mergeCell ref="I18:J18"/>
    <mergeCell ref="I22:J22"/>
    <mergeCell ref="I28:K28"/>
    <mergeCell ref="M28:O28"/>
    <mergeCell ref="I30:J30"/>
    <mergeCell ref="M30:N30"/>
    <mergeCell ref="M22:N22"/>
    <mergeCell ref="I23:J23"/>
    <mergeCell ref="M23:N23"/>
    <mergeCell ref="I24:J24"/>
    <mergeCell ref="M24:N24"/>
  </mergeCells>
  <conditionalFormatting sqref="C420:C426 B419:B426 B427:C449">
    <cfRule type="duplicateValues" dxfId="502" priority="3"/>
    <cfRule type="duplicateValues" dxfId="501" priority="74"/>
  </conditionalFormatting>
  <conditionalFormatting sqref="B352 B357:B376 B402:B414">
    <cfRule type="cellIs" dxfId="500" priority="401" operator="equal">
      <formula>"OFF"</formula>
    </cfRule>
  </conditionalFormatting>
  <conditionalFormatting sqref="B352">
    <cfRule type="duplicateValues" dxfId="499" priority="407"/>
    <cfRule type="duplicateValues" dxfId="498" priority="406"/>
    <cfRule type="duplicateValues" dxfId="497" priority="405"/>
    <cfRule type="duplicateValues" dxfId="496" priority="408"/>
    <cfRule type="duplicateValues" dxfId="495" priority="400"/>
    <cfRule type="duplicateValues" dxfId="494" priority="399"/>
    <cfRule type="duplicateValues" dxfId="493" priority="398"/>
    <cfRule type="duplicateValues" dxfId="492" priority="397"/>
  </conditionalFormatting>
  <conditionalFormatting sqref="B353">
    <cfRule type="duplicateValues" dxfId="491" priority="394"/>
    <cfRule type="duplicateValues" dxfId="490" priority="393"/>
    <cfRule type="duplicateValues" dxfId="489" priority="396"/>
    <cfRule type="duplicateValues" dxfId="488" priority="395"/>
  </conditionalFormatting>
  <conditionalFormatting sqref="B353:B355">
    <cfRule type="cellIs" dxfId="487" priority="388" operator="equal">
      <formula>"OFF"</formula>
    </cfRule>
  </conditionalFormatting>
  <conditionalFormatting sqref="B354">
    <cfRule type="duplicateValues" dxfId="486" priority="390"/>
    <cfRule type="duplicateValues" dxfId="485" priority="389"/>
    <cfRule type="duplicateValues" dxfId="484" priority="392"/>
    <cfRule type="duplicateValues" dxfId="483" priority="391"/>
  </conditionalFormatting>
  <conditionalFormatting sqref="B355">
    <cfRule type="duplicateValues" dxfId="482" priority="412"/>
    <cfRule type="duplicateValues" dxfId="481" priority="411"/>
    <cfRule type="duplicateValues" dxfId="480" priority="410"/>
    <cfRule type="duplicateValues" dxfId="479" priority="409"/>
  </conditionalFormatting>
  <conditionalFormatting sqref="B357:B376">
    <cfRule type="duplicateValues" dxfId="478" priority="3225"/>
    <cfRule type="duplicateValues" dxfId="477" priority="3226"/>
    <cfRule type="duplicateValues" dxfId="476" priority="3227"/>
    <cfRule type="duplicateValues" dxfId="475" priority="3224"/>
  </conditionalFormatting>
  <conditionalFormatting sqref="B358">
    <cfRule type="duplicateValues" dxfId="474" priority="379"/>
    <cfRule type="duplicateValues" dxfId="473" priority="378"/>
    <cfRule type="duplicateValues" dxfId="472" priority="377"/>
    <cfRule type="duplicateValues" dxfId="471" priority="376"/>
  </conditionalFormatting>
  <conditionalFormatting sqref="B359">
    <cfRule type="duplicateValues" dxfId="470" priority="373"/>
    <cfRule type="duplicateValues" dxfId="469" priority="372"/>
    <cfRule type="duplicateValues" dxfId="468" priority="370"/>
    <cfRule type="duplicateValues" dxfId="467" priority="369"/>
    <cfRule type="duplicateValues" dxfId="466" priority="368"/>
    <cfRule type="duplicateValues" dxfId="465" priority="367"/>
    <cfRule type="duplicateValues" dxfId="464" priority="375"/>
    <cfRule type="duplicateValues" dxfId="463" priority="374"/>
  </conditionalFormatting>
  <conditionalFormatting sqref="B359:B360">
    <cfRule type="cellIs" dxfId="462" priority="362" operator="equal">
      <formula>"OFF"</formula>
    </cfRule>
  </conditionalFormatting>
  <conditionalFormatting sqref="B360">
    <cfRule type="duplicateValues" dxfId="461" priority="366"/>
    <cfRule type="duplicateValues" dxfId="460" priority="365"/>
    <cfRule type="duplicateValues" dxfId="459" priority="364"/>
    <cfRule type="duplicateValues" dxfId="458" priority="363"/>
    <cfRule type="duplicateValues" dxfId="457" priority="361"/>
    <cfRule type="duplicateValues" dxfId="456" priority="360"/>
    <cfRule type="duplicateValues" dxfId="455" priority="359"/>
    <cfRule type="duplicateValues" dxfId="454" priority="358"/>
  </conditionalFormatting>
  <conditionalFormatting sqref="B360:B361">
    <cfRule type="cellIs" dxfId="453" priority="353" operator="equal">
      <formula>"OFF"</formula>
    </cfRule>
  </conditionalFormatting>
  <conditionalFormatting sqref="B361">
    <cfRule type="duplicateValues" dxfId="452" priority="357"/>
    <cfRule type="duplicateValues" dxfId="451" priority="356"/>
    <cfRule type="duplicateValues" dxfId="450" priority="355"/>
    <cfRule type="duplicateValues" dxfId="449" priority="354"/>
    <cfRule type="duplicateValues" dxfId="448" priority="352"/>
    <cfRule type="duplicateValues" dxfId="447" priority="351"/>
  </conditionalFormatting>
  <conditionalFormatting sqref="B362:B366">
    <cfRule type="cellIs" dxfId="446" priority="329" operator="equal">
      <formula>"E"</formula>
    </cfRule>
    <cfRule type="cellIs" dxfId="445" priority="328" operator="equal">
      <formula>"M"</formula>
    </cfRule>
    <cfRule type="cellIs" dxfId="444" priority="327" operator="equal">
      <formula>"AF"</formula>
    </cfRule>
    <cfRule type="cellIs" dxfId="443" priority="326" operator="equal">
      <formula>"N"</formula>
    </cfRule>
    <cfRule type="cellIs" dxfId="442" priority="330" operator="equal">
      <formula>"A"</formula>
    </cfRule>
    <cfRule type="cellIs" dxfId="441" priority="325" operator="equal">
      <formula>"A"</formula>
    </cfRule>
    <cfRule type="cellIs" dxfId="440" priority="339" operator="equal">
      <formula>"A"</formula>
    </cfRule>
    <cfRule type="cellIs" dxfId="439" priority="337" operator="equal">
      <formula>"A"</formula>
    </cfRule>
    <cfRule type="cellIs" dxfId="438" priority="333" operator="equal">
      <formula>"S"</formula>
    </cfRule>
    <cfRule type="cellIs" dxfId="437" priority="332" operator="equal">
      <formula>"S"</formula>
    </cfRule>
    <cfRule type="cellIs" dxfId="436" priority="331" operator="equal">
      <formula>"S"</formula>
    </cfRule>
  </conditionalFormatting>
  <conditionalFormatting sqref="B367:B370">
    <cfRule type="duplicateValues" dxfId="435" priority="3254"/>
    <cfRule type="cellIs" dxfId="434" priority="3250" operator="equal">
      <formula>"OFF"</formula>
    </cfRule>
    <cfRule type="duplicateValues" dxfId="433" priority="3251"/>
    <cfRule type="duplicateValues" dxfId="432" priority="3252"/>
    <cfRule type="duplicateValues" dxfId="431" priority="3253"/>
  </conditionalFormatting>
  <conditionalFormatting sqref="B369">
    <cfRule type="duplicateValues" dxfId="430" priority="303"/>
    <cfRule type="duplicateValues" dxfId="429" priority="305"/>
    <cfRule type="duplicateValues" dxfId="428" priority="306"/>
    <cfRule type="duplicateValues" dxfId="427" priority="304"/>
  </conditionalFormatting>
  <conditionalFormatting sqref="B370">
    <cfRule type="duplicateValues" dxfId="426" priority="300"/>
    <cfRule type="duplicateValues" dxfId="425" priority="301"/>
  </conditionalFormatting>
  <conditionalFormatting sqref="B376">
    <cfRule type="duplicateValues" dxfId="424" priority="290"/>
    <cfRule type="cellIs" dxfId="423" priority="289" operator="equal">
      <formula>"OFF"</formula>
    </cfRule>
    <cfRule type="duplicateValues" dxfId="422" priority="297"/>
    <cfRule type="duplicateValues" dxfId="421" priority="296"/>
    <cfRule type="duplicateValues" dxfId="420" priority="295"/>
    <cfRule type="duplicateValues" dxfId="419" priority="294"/>
    <cfRule type="duplicateValues" dxfId="418" priority="293"/>
    <cfRule type="duplicateValues" dxfId="417" priority="292"/>
    <cfRule type="duplicateValues" dxfId="416" priority="291"/>
  </conditionalFormatting>
  <conditionalFormatting sqref="B386:B388">
    <cfRule type="duplicateValues" dxfId="415" priority="276"/>
    <cfRule type="duplicateValues" dxfId="414" priority="275"/>
  </conditionalFormatting>
  <conditionalFormatting sqref="B386:B393">
    <cfRule type="duplicateValues" dxfId="413" priority="278"/>
    <cfRule type="duplicateValues" dxfId="412" priority="280"/>
    <cfRule type="duplicateValues" dxfId="411" priority="279"/>
    <cfRule type="cellIs" dxfId="410" priority="270" operator="equal">
      <formula>"OFF"</formula>
    </cfRule>
    <cfRule type="duplicateValues" dxfId="409" priority="277"/>
  </conditionalFormatting>
  <conditionalFormatting sqref="B389:B392">
    <cfRule type="duplicateValues" dxfId="408" priority="269"/>
    <cfRule type="duplicateValues" dxfId="407" priority="268"/>
  </conditionalFormatting>
  <conditionalFormatting sqref="B393">
    <cfRule type="duplicateValues" dxfId="406" priority="274"/>
    <cfRule type="duplicateValues" dxfId="405" priority="273"/>
    <cfRule type="duplicateValues" dxfId="404" priority="272"/>
    <cfRule type="duplicateValues" dxfId="403" priority="271"/>
  </conditionalFormatting>
  <conditionalFormatting sqref="B394:B401">
    <cfRule type="cellIs" dxfId="402" priority="226" operator="equal">
      <formula>"AF"</formula>
    </cfRule>
    <cfRule type="cellIs" dxfId="401" priority="224" operator="equal">
      <formula>"A"</formula>
    </cfRule>
    <cfRule type="cellIs" dxfId="400" priority="234" operator="equal">
      <formula>"A"</formula>
    </cfRule>
    <cfRule type="cellIs" dxfId="399" priority="233" operator="equal">
      <formula>"A"</formula>
    </cfRule>
    <cfRule type="cellIs" dxfId="398" priority="232" operator="equal">
      <formula>"S"</formula>
    </cfRule>
    <cfRule type="cellIs" dxfId="397" priority="231" operator="equal">
      <formula>"S"</formula>
    </cfRule>
    <cfRule type="cellIs" dxfId="396" priority="230" operator="equal">
      <formula>"S"</formula>
    </cfRule>
    <cfRule type="cellIs" dxfId="395" priority="229" operator="equal">
      <formula>"A"</formula>
    </cfRule>
    <cfRule type="cellIs" dxfId="394" priority="228" operator="equal">
      <formula>"E"</formula>
    </cfRule>
    <cfRule type="cellIs" dxfId="393" priority="227" operator="equal">
      <formula>"M"</formula>
    </cfRule>
    <cfRule type="cellIs" dxfId="392" priority="225" operator="equal">
      <formula>"N"</formula>
    </cfRule>
  </conditionalFormatting>
  <conditionalFormatting sqref="B402">
    <cfRule type="duplicateValues" dxfId="391" priority="214"/>
    <cfRule type="duplicateValues" dxfId="390" priority="213"/>
    <cfRule type="duplicateValues" dxfId="389" priority="212"/>
    <cfRule type="duplicateValues" dxfId="388" priority="210"/>
    <cfRule type="duplicateValues" dxfId="387" priority="208"/>
    <cfRule type="duplicateValues" dxfId="386" priority="207"/>
    <cfRule type="duplicateValues" dxfId="385" priority="209"/>
    <cfRule type="duplicateValues" dxfId="384" priority="215"/>
  </conditionalFormatting>
  <conditionalFormatting sqref="B403">
    <cfRule type="duplicateValues" dxfId="383" priority="205"/>
    <cfRule type="duplicateValues" dxfId="382" priority="204"/>
    <cfRule type="duplicateValues" dxfId="381" priority="203"/>
    <cfRule type="duplicateValues" dxfId="380" priority="202"/>
    <cfRule type="duplicateValues" dxfId="379" priority="200"/>
    <cfRule type="duplicateValues" dxfId="378" priority="199"/>
  </conditionalFormatting>
  <conditionalFormatting sqref="B404">
    <cfRule type="duplicateValues" dxfId="377" priority="198"/>
    <cfRule type="duplicateValues" dxfId="376" priority="196"/>
    <cfRule type="duplicateValues" dxfId="375" priority="195"/>
    <cfRule type="duplicateValues" dxfId="374" priority="193"/>
    <cfRule type="duplicateValues" dxfId="373" priority="192"/>
    <cfRule type="duplicateValues" dxfId="372" priority="197"/>
  </conditionalFormatting>
  <conditionalFormatting sqref="B407">
    <cfRule type="duplicateValues" dxfId="371" priority="191"/>
    <cfRule type="duplicateValues" dxfId="370" priority="190"/>
    <cfRule type="duplicateValues" dxfId="369" priority="189"/>
    <cfRule type="duplicateValues" dxfId="368" priority="188"/>
    <cfRule type="duplicateValues" dxfId="367" priority="186"/>
    <cfRule type="duplicateValues" dxfId="366" priority="185"/>
  </conditionalFormatting>
  <conditionalFormatting sqref="B408">
    <cfRule type="duplicateValues" dxfId="365" priority="184"/>
    <cfRule type="duplicateValues" dxfId="364" priority="183"/>
    <cfRule type="duplicateValues" dxfId="363" priority="182"/>
    <cfRule type="duplicateValues" dxfId="362" priority="181"/>
  </conditionalFormatting>
  <conditionalFormatting sqref="B419:B426">
    <cfRule type="duplicateValues" dxfId="361" priority="2"/>
  </conditionalFormatting>
  <conditionalFormatting sqref="E354">
    <cfRule type="duplicateValues" dxfId="360" priority="402"/>
    <cfRule type="duplicateValues" dxfId="359" priority="404"/>
    <cfRule type="duplicateValues" dxfId="358" priority="403"/>
  </conditionalFormatting>
  <conditionalFormatting sqref="E357:E376">
    <cfRule type="cellIs" dxfId="357" priority="384" operator="equal">
      <formula>"OFF"</formula>
    </cfRule>
  </conditionalFormatting>
  <pageMargins left="0.7" right="0.7" top="0.75" bottom="0.75" header="0.3" footer="0.3"/>
  <pageSetup scal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D993-0D2D-4EF7-9811-BD48477D5F68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7367-4812-4AA8-98DB-483F7DA7FBC5}">
  <sheetPr>
    <pageSetUpPr fitToPage="1"/>
  </sheetPr>
  <dimension ref="A1:G344"/>
  <sheetViews>
    <sheetView topLeftCell="A145" zoomScaleNormal="100" workbookViewId="0">
      <selection activeCell="A331" sqref="A331:XFD331"/>
    </sheetView>
  </sheetViews>
  <sheetFormatPr defaultRowHeight="15" x14ac:dyDescent="0.2"/>
  <cols>
    <col min="1" max="1" width="5.625" style="10" bestFit="1" customWidth="1"/>
    <col min="2" max="2" width="55" style="11" bestFit="1" customWidth="1"/>
    <col min="3" max="3" width="18.25" style="12" bestFit="1" customWidth="1"/>
    <col min="4" max="4" width="26.75" style="11" bestFit="1" customWidth="1"/>
    <col min="5" max="5" width="23.625" style="11" bestFit="1" customWidth="1"/>
    <col min="6" max="6" width="40.75" bestFit="1" customWidth="1"/>
    <col min="7" max="7" width="14.25" bestFit="1" customWidth="1"/>
    <col min="8" max="8" width="11" bestFit="1" customWidth="1"/>
  </cols>
  <sheetData>
    <row r="1" spans="1:5" ht="16.5" thickBot="1" x14ac:dyDescent="0.25">
      <c r="A1" s="13" t="s">
        <v>290</v>
      </c>
      <c r="B1" s="13" t="s">
        <v>291</v>
      </c>
      <c r="C1" s="13" t="s">
        <v>292</v>
      </c>
      <c r="D1" s="14" t="s">
        <v>293</v>
      </c>
      <c r="E1" s="15" t="s">
        <v>294</v>
      </c>
    </row>
    <row r="2" spans="1:5" ht="16.5" thickBot="1" x14ac:dyDescent="0.25">
      <c r="A2" s="16">
        <v>1019</v>
      </c>
      <c r="B2" s="17" t="s">
        <v>1</v>
      </c>
      <c r="C2" s="16">
        <v>1013333299</v>
      </c>
      <c r="D2" s="18">
        <v>45452</v>
      </c>
      <c r="E2" s="19" t="s">
        <v>0</v>
      </c>
    </row>
    <row r="3" spans="1:5" ht="16.5" thickBot="1" x14ac:dyDescent="0.25">
      <c r="A3" s="20">
        <v>1022</v>
      </c>
      <c r="B3" s="21" t="s">
        <v>2</v>
      </c>
      <c r="C3" s="22">
        <v>1099914441</v>
      </c>
      <c r="D3" s="23">
        <v>45505</v>
      </c>
      <c r="E3" s="19" t="s">
        <v>3</v>
      </c>
    </row>
    <row r="4" spans="1:5" ht="16.5" thickBot="1" x14ac:dyDescent="0.25">
      <c r="A4" s="16">
        <v>1023</v>
      </c>
      <c r="B4" s="24" t="s">
        <v>4</v>
      </c>
      <c r="C4" s="25">
        <v>1226950094</v>
      </c>
      <c r="D4" s="18">
        <v>45515</v>
      </c>
      <c r="E4" s="19" t="s">
        <v>3</v>
      </c>
    </row>
    <row r="5" spans="1:5" ht="16.5" thickBot="1" x14ac:dyDescent="0.25">
      <c r="A5" s="26">
        <v>1052</v>
      </c>
      <c r="B5" s="27" t="s">
        <v>5</v>
      </c>
      <c r="C5" s="28">
        <v>1066681479</v>
      </c>
      <c r="D5" s="19">
        <v>45642</v>
      </c>
      <c r="E5" s="19" t="s">
        <v>3</v>
      </c>
    </row>
    <row r="6" spans="1:5" ht="16.5" thickBot="1" x14ac:dyDescent="0.25">
      <c r="A6" s="26">
        <v>1046</v>
      </c>
      <c r="B6" s="27" t="s">
        <v>7</v>
      </c>
      <c r="C6" s="28">
        <v>1014446422</v>
      </c>
      <c r="D6" s="19">
        <v>45597</v>
      </c>
      <c r="E6" s="19" t="s">
        <v>6</v>
      </c>
    </row>
    <row r="7" spans="1:5" ht="16.5" thickBot="1" x14ac:dyDescent="0.25">
      <c r="A7" s="26">
        <v>1066</v>
      </c>
      <c r="B7" s="27" t="s">
        <v>9</v>
      </c>
      <c r="C7" s="28">
        <v>1221618941</v>
      </c>
      <c r="D7" s="19">
        <v>45717</v>
      </c>
      <c r="E7" s="19" t="s">
        <v>8</v>
      </c>
    </row>
    <row r="8" spans="1:5" ht="16.5" thickBot="1" x14ac:dyDescent="0.25">
      <c r="A8" s="29">
        <v>1028</v>
      </c>
      <c r="B8" s="30" t="s">
        <v>11</v>
      </c>
      <c r="C8" s="31">
        <v>1033010314</v>
      </c>
      <c r="D8" s="32">
        <v>45566</v>
      </c>
      <c r="E8" s="19" t="s">
        <v>3</v>
      </c>
    </row>
    <row r="9" spans="1:5" ht="16.5" thickBot="1" x14ac:dyDescent="0.25">
      <c r="A9" s="29">
        <v>1029</v>
      </c>
      <c r="B9" s="30" t="s">
        <v>12</v>
      </c>
      <c r="C9" s="31">
        <v>1203424693</v>
      </c>
      <c r="D9" s="32">
        <v>45566</v>
      </c>
      <c r="E9" s="19" t="s">
        <v>10</v>
      </c>
    </row>
    <row r="10" spans="1:5" ht="16.5" thickBot="1" x14ac:dyDescent="0.25">
      <c r="A10" s="26">
        <v>1051</v>
      </c>
      <c r="B10" s="27" t="s">
        <v>13</v>
      </c>
      <c r="C10" s="28">
        <v>1226199919</v>
      </c>
      <c r="D10" s="19">
        <v>45642</v>
      </c>
      <c r="E10" s="19" t="s">
        <v>10</v>
      </c>
    </row>
    <row r="11" spans="1:5" ht="16.5" thickBot="1" x14ac:dyDescent="0.25">
      <c r="A11" s="26">
        <v>1064</v>
      </c>
      <c r="B11" s="27" t="s">
        <v>15</v>
      </c>
      <c r="C11" s="28">
        <v>1098111708</v>
      </c>
      <c r="D11" s="19">
        <v>45717</v>
      </c>
      <c r="E11" s="19" t="s">
        <v>14</v>
      </c>
    </row>
    <row r="12" spans="1:5" ht="16.5" thickBot="1" x14ac:dyDescent="0.25">
      <c r="A12" s="26">
        <v>1065</v>
      </c>
      <c r="B12" s="27" t="s">
        <v>16</v>
      </c>
      <c r="C12" s="28">
        <v>1017419875</v>
      </c>
      <c r="D12" s="19">
        <v>45717</v>
      </c>
      <c r="E12" s="19" t="s">
        <v>14</v>
      </c>
    </row>
    <row r="13" spans="1:5" ht="16.5" thickBot="1" x14ac:dyDescent="0.25">
      <c r="A13" s="29">
        <v>1067</v>
      </c>
      <c r="B13" s="30" t="s">
        <v>17</v>
      </c>
      <c r="C13" s="31">
        <v>1000044950</v>
      </c>
      <c r="D13" s="32">
        <v>45717</v>
      </c>
      <c r="E13" s="19" t="s">
        <v>14</v>
      </c>
    </row>
    <row r="14" spans="1:5" ht="16.5" thickBot="1" x14ac:dyDescent="0.25">
      <c r="A14" s="26">
        <v>1189</v>
      </c>
      <c r="B14" s="30" t="s">
        <v>18</v>
      </c>
      <c r="C14" s="31">
        <v>1006788757</v>
      </c>
      <c r="D14" s="32">
        <v>45854</v>
      </c>
      <c r="E14" s="19" t="s">
        <v>14</v>
      </c>
    </row>
    <row r="15" spans="1:5" ht="16.5" thickBot="1" x14ac:dyDescent="0.25">
      <c r="A15" s="26">
        <v>1372</v>
      </c>
      <c r="B15" s="30" t="s">
        <v>19</v>
      </c>
      <c r="C15" s="31">
        <v>1285478805</v>
      </c>
      <c r="D15" s="32">
        <v>45963</v>
      </c>
      <c r="E15" s="19" t="s">
        <v>14</v>
      </c>
    </row>
    <row r="16" spans="1:5" ht="16.5" thickBot="1" x14ac:dyDescent="0.25">
      <c r="A16" s="26">
        <v>1373</v>
      </c>
      <c r="B16" s="30" t="s">
        <v>20</v>
      </c>
      <c r="C16" s="33">
        <v>1223656736</v>
      </c>
      <c r="D16" s="32">
        <v>45963</v>
      </c>
      <c r="E16" s="19" t="s">
        <v>14</v>
      </c>
    </row>
    <row r="17" spans="1:5" ht="16.5" thickBot="1" x14ac:dyDescent="0.25">
      <c r="A17" s="26">
        <v>1374</v>
      </c>
      <c r="B17" s="30" t="s">
        <v>21</v>
      </c>
      <c r="C17" s="31">
        <v>1064252990</v>
      </c>
      <c r="D17" s="32">
        <v>45963</v>
      </c>
      <c r="E17" s="19" t="s">
        <v>14</v>
      </c>
    </row>
    <row r="18" spans="1:5" ht="16.5" thickBot="1" x14ac:dyDescent="0.25">
      <c r="A18" s="26">
        <v>1375</v>
      </c>
      <c r="B18" s="30" t="s">
        <v>22</v>
      </c>
      <c r="C18" s="31">
        <v>1007502484</v>
      </c>
      <c r="D18" s="32">
        <v>45963</v>
      </c>
      <c r="E18" s="19" t="s">
        <v>14</v>
      </c>
    </row>
    <row r="19" spans="1:5" ht="16.5" thickBot="1" x14ac:dyDescent="0.25">
      <c r="A19" s="26">
        <v>1428</v>
      </c>
      <c r="B19" s="30" t="s">
        <v>275</v>
      </c>
      <c r="C19" s="31">
        <v>1201126212</v>
      </c>
      <c r="D19" s="32">
        <v>45992</v>
      </c>
      <c r="E19" s="19" t="s">
        <v>14</v>
      </c>
    </row>
    <row r="20" spans="1:5" ht="16.5" thickBot="1" x14ac:dyDescent="0.25">
      <c r="A20" s="29">
        <v>1053</v>
      </c>
      <c r="B20" s="30" t="s">
        <v>24</v>
      </c>
      <c r="C20" s="31">
        <v>1090438644</v>
      </c>
      <c r="D20" s="32">
        <v>45645</v>
      </c>
      <c r="E20" s="19" t="s">
        <v>23</v>
      </c>
    </row>
    <row r="21" spans="1:5" ht="16.5" thickBot="1" x14ac:dyDescent="0.25">
      <c r="A21" s="26">
        <v>1069</v>
      </c>
      <c r="B21" s="27" t="s">
        <v>26</v>
      </c>
      <c r="C21" s="28">
        <v>1282798500</v>
      </c>
      <c r="D21" s="19">
        <v>45717</v>
      </c>
      <c r="E21" s="19" t="s">
        <v>25</v>
      </c>
    </row>
    <row r="22" spans="1:5" ht="16.5" thickBot="1" x14ac:dyDescent="0.25">
      <c r="A22" s="26">
        <v>1070</v>
      </c>
      <c r="B22" s="27" t="s">
        <v>27</v>
      </c>
      <c r="C22" s="28">
        <v>1098041512</v>
      </c>
      <c r="D22" s="19">
        <v>45717</v>
      </c>
      <c r="E22" s="19" t="s">
        <v>25</v>
      </c>
    </row>
    <row r="23" spans="1:5" ht="16.5" thickBot="1" x14ac:dyDescent="0.25">
      <c r="A23" s="26">
        <v>1071</v>
      </c>
      <c r="B23" s="27" t="s">
        <v>28</v>
      </c>
      <c r="C23" s="28">
        <v>1555546293</v>
      </c>
      <c r="D23" s="19">
        <v>45717</v>
      </c>
      <c r="E23" s="19" t="s">
        <v>25</v>
      </c>
    </row>
    <row r="24" spans="1:5" ht="16.5" thickBot="1" x14ac:dyDescent="0.25">
      <c r="A24" s="26">
        <v>1163</v>
      </c>
      <c r="B24" s="27" t="s">
        <v>29</v>
      </c>
      <c r="C24" s="28">
        <v>1229275599</v>
      </c>
      <c r="D24" s="19">
        <v>45823</v>
      </c>
      <c r="E24" s="19" t="s">
        <v>25</v>
      </c>
    </row>
    <row r="25" spans="1:5" ht="16.5" thickBot="1" x14ac:dyDescent="0.25">
      <c r="A25" s="26">
        <v>1221</v>
      </c>
      <c r="B25" s="27" t="s">
        <v>30</v>
      </c>
      <c r="C25" s="28">
        <v>1222671611</v>
      </c>
      <c r="D25" s="19">
        <v>45886</v>
      </c>
      <c r="E25" s="19" t="s">
        <v>25</v>
      </c>
    </row>
    <row r="26" spans="1:5" s="9" customFormat="1" ht="16.5" thickBot="1" x14ac:dyDescent="0.25">
      <c r="A26" s="26">
        <v>1459</v>
      </c>
      <c r="B26" s="34" t="s">
        <v>302</v>
      </c>
      <c r="C26" s="28">
        <v>1223881950</v>
      </c>
      <c r="D26" s="19">
        <v>46054</v>
      </c>
      <c r="E26" s="19" t="s">
        <v>25</v>
      </c>
    </row>
    <row r="27" spans="1:5" s="9" customFormat="1" ht="16.5" thickBot="1" x14ac:dyDescent="0.25">
      <c r="A27" s="26">
        <v>1463</v>
      </c>
      <c r="B27" s="34" t="s">
        <v>303</v>
      </c>
      <c r="C27" s="28">
        <v>1278655585</v>
      </c>
      <c r="D27" s="19">
        <v>46061</v>
      </c>
      <c r="E27" s="19" t="s">
        <v>25</v>
      </c>
    </row>
    <row r="28" spans="1:5" s="9" customFormat="1" ht="16.5" thickBot="1" x14ac:dyDescent="0.25">
      <c r="A28" s="26">
        <v>1464</v>
      </c>
      <c r="B28" s="34" t="s">
        <v>304</v>
      </c>
      <c r="C28" s="28">
        <v>1228717478</v>
      </c>
      <c r="D28" s="19">
        <v>46061</v>
      </c>
      <c r="E28" s="19" t="s">
        <v>25</v>
      </c>
    </row>
    <row r="29" spans="1:5" ht="16.5" thickBot="1" x14ac:dyDescent="0.25">
      <c r="A29" s="26">
        <v>1068</v>
      </c>
      <c r="B29" s="27" t="s">
        <v>32</v>
      </c>
      <c r="C29" s="28">
        <v>1099841315</v>
      </c>
      <c r="D29" s="19">
        <v>45717</v>
      </c>
      <c r="E29" s="19" t="s">
        <v>31</v>
      </c>
    </row>
    <row r="30" spans="1:5" ht="16.5" thickBot="1" x14ac:dyDescent="0.25">
      <c r="A30" s="26">
        <v>1158</v>
      </c>
      <c r="B30" s="27" t="s">
        <v>33</v>
      </c>
      <c r="C30" s="28">
        <v>1222767261</v>
      </c>
      <c r="D30" s="19">
        <v>45823</v>
      </c>
      <c r="E30" s="19" t="s">
        <v>31</v>
      </c>
    </row>
    <row r="31" spans="1:5" ht="16.5" thickBot="1" x14ac:dyDescent="0.25">
      <c r="A31" s="35">
        <v>1167</v>
      </c>
      <c r="B31" s="27" t="s">
        <v>34</v>
      </c>
      <c r="C31" s="28">
        <v>1288919494</v>
      </c>
      <c r="D31" s="19">
        <v>45823</v>
      </c>
      <c r="E31" s="19" t="s">
        <v>31</v>
      </c>
    </row>
    <row r="32" spans="1:5" ht="16.5" thickBot="1" x14ac:dyDescent="0.25">
      <c r="A32" s="35">
        <v>1291</v>
      </c>
      <c r="B32" s="27" t="s">
        <v>35</v>
      </c>
      <c r="C32" s="28">
        <v>1211163369</v>
      </c>
      <c r="D32" s="19">
        <v>45931</v>
      </c>
      <c r="E32" s="19" t="s">
        <v>31</v>
      </c>
    </row>
    <row r="33" spans="1:5" ht="16.5" thickBot="1" x14ac:dyDescent="0.25">
      <c r="A33" s="35">
        <v>1292</v>
      </c>
      <c r="B33" s="27" t="s">
        <v>36</v>
      </c>
      <c r="C33" s="28">
        <v>1018614150</v>
      </c>
      <c r="D33" s="19">
        <v>45931</v>
      </c>
      <c r="E33" s="19" t="s">
        <v>31</v>
      </c>
    </row>
    <row r="34" spans="1:5" ht="16.5" thickBot="1" x14ac:dyDescent="0.25">
      <c r="A34" s="35">
        <v>1385</v>
      </c>
      <c r="B34" s="27" t="s">
        <v>37</v>
      </c>
      <c r="C34" s="28">
        <v>1060060525</v>
      </c>
      <c r="D34" s="32">
        <v>45963</v>
      </c>
      <c r="E34" s="19" t="s">
        <v>31</v>
      </c>
    </row>
    <row r="35" spans="1:5" ht="16.5" thickBot="1" x14ac:dyDescent="0.25">
      <c r="A35" s="35">
        <v>1386</v>
      </c>
      <c r="B35" s="27" t="s">
        <v>38</v>
      </c>
      <c r="C35" s="28">
        <v>1110113373</v>
      </c>
      <c r="D35" s="32">
        <v>45963</v>
      </c>
      <c r="E35" s="19" t="s">
        <v>31</v>
      </c>
    </row>
    <row r="36" spans="1:5" ht="16.5" thickBot="1" x14ac:dyDescent="0.25">
      <c r="A36" s="35">
        <v>1453</v>
      </c>
      <c r="B36" s="27" t="s">
        <v>296</v>
      </c>
      <c r="C36" s="28">
        <v>1065620284</v>
      </c>
      <c r="D36" s="19">
        <v>46026</v>
      </c>
      <c r="E36" s="19" t="s">
        <v>31</v>
      </c>
    </row>
    <row r="37" spans="1:5" ht="16.5" thickBot="1" x14ac:dyDescent="0.25">
      <c r="A37" s="35">
        <v>1457</v>
      </c>
      <c r="B37" s="27" t="s">
        <v>295</v>
      </c>
      <c r="C37" s="28">
        <v>1117681820</v>
      </c>
      <c r="D37" s="19">
        <v>46026</v>
      </c>
      <c r="E37" s="19" t="s">
        <v>31</v>
      </c>
    </row>
    <row r="38" spans="1:5" ht="16.5" thickBot="1" x14ac:dyDescent="0.25">
      <c r="A38" s="16">
        <v>1055</v>
      </c>
      <c r="B38" s="24" t="s">
        <v>40</v>
      </c>
      <c r="C38" s="28">
        <v>1211418867</v>
      </c>
      <c r="D38" s="19">
        <v>45692</v>
      </c>
      <c r="E38" s="19" t="s">
        <v>41</v>
      </c>
    </row>
    <row r="39" spans="1:5" ht="16.5" thickBot="1" x14ac:dyDescent="0.25">
      <c r="A39" s="16">
        <v>1056</v>
      </c>
      <c r="B39" s="24" t="s">
        <v>42</v>
      </c>
      <c r="C39" s="28">
        <v>1206046917</v>
      </c>
      <c r="D39" s="19">
        <v>45692</v>
      </c>
      <c r="E39" s="19" t="s">
        <v>41</v>
      </c>
    </row>
    <row r="40" spans="1:5" ht="16.5" thickBot="1" x14ac:dyDescent="0.25">
      <c r="A40" s="16">
        <v>1057</v>
      </c>
      <c r="B40" s="24" t="s">
        <v>43</v>
      </c>
      <c r="C40" s="28">
        <v>1282369691</v>
      </c>
      <c r="D40" s="19">
        <v>45692</v>
      </c>
      <c r="E40" s="19" t="s">
        <v>41</v>
      </c>
    </row>
    <row r="41" spans="1:5" ht="16.5" thickBot="1" x14ac:dyDescent="0.25">
      <c r="A41" s="16">
        <v>1058</v>
      </c>
      <c r="B41" s="24" t="s">
        <v>44</v>
      </c>
      <c r="C41" s="28">
        <v>1030067172</v>
      </c>
      <c r="D41" s="19">
        <v>45692</v>
      </c>
      <c r="E41" s="19" t="s">
        <v>41</v>
      </c>
    </row>
    <row r="42" spans="1:5" ht="16.5" thickBot="1" x14ac:dyDescent="0.25">
      <c r="A42" s="35">
        <v>1160</v>
      </c>
      <c r="B42" s="36" t="s">
        <v>45</v>
      </c>
      <c r="C42" s="28">
        <v>1550345637</v>
      </c>
      <c r="D42" s="19">
        <v>45823</v>
      </c>
      <c r="E42" s="19" t="s">
        <v>41</v>
      </c>
    </row>
    <row r="43" spans="1:5" ht="16.5" thickBot="1" x14ac:dyDescent="0.25">
      <c r="A43" s="35">
        <v>1159</v>
      </c>
      <c r="B43" s="24" t="s">
        <v>46</v>
      </c>
      <c r="C43" s="28">
        <v>1060701093</v>
      </c>
      <c r="D43" s="19">
        <v>45823</v>
      </c>
      <c r="E43" s="19" t="s">
        <v>41</v>
      </c>
    </row>
    <row r="44" spans="1:5" ht="16.5" thickBot="1" x14ac:dyDescent="0.25">
      <c r="A44" s="16">
        <v>1165</v>
      </c>
      <c r="B44" s="24" t="s">
        <v>47</v>
      </c>
      <c r="C44" s="28">
        <v>1023843384</v>
      </c>
      <c r="D44" s="19">
        <v>45823</v>
      </c>
      <c r="E44" s="19" t="s">
        <v>41</v>
      </c>
    </row>
    <row r="45" spans="1:5" ht="16.5" thickBot="1" x14ac:dyDescent="0.25">
      <c r="A45" s="16">
        <v>1166</v>
      </c>
      <c r="B45" s="24" t="s">
        <v>48</v>
      </c>
      <c r="C45" s="28">
        <v>1098246290</v>
      </c>
      <c r="D45" s="19">
        <v>45823</v>
      </c>
      <c r="E45" s="19" t="s">
        <v>41</v>
      </c>
    </row>
    <row r="46" spans="1:5" ht="16.5" thickBot="1" x14ac:dyDescent="0.25">
      <c r="A46" s="16">
        <v>1164</v>
      </c>
      <c r="B46" s="24" t="s">
        <v>49</v>
      </c>
      <c r="C46" s="28">
        <v>1284474913</v>
      </c>
      <c r="D46" s="19">
        <v>45823</v>
      </c>
      <c r="E46" s="19" t="s">
        <v>41</v>
      </c>
    </row>
    <row r="47" spans="1:5" ht="16.5" thickBot="1" x14ac:dyDescent="0.25">
      <c r="A47" s="16">
        <v>1072</v>
      </c>
      <c r="B47" s="24" t="s">
        <v>50</v>
      </c>
      <c r="C47" s="28">
        <v>1097242466</v>
      </c>
      <c r="D47" s="19">
        <v>45717</v>
      </c>
      <c r="E47" s="19" t="s">
        <v>51</v>
      </c>
    </row>
    <row r="48" spans="1:5" ht="16.5" thickBot="1" x14ac:dyDescent="0.25">
      <c r="A48" s="16">
        <v>1074</v>
      </c>
      <c r="B48" s="24" t="s">
        <v>52</v>
      </c>
      <c r="C48" s="28">
        <v>1095539096</v>
      </c>
      <c r="D48" s="19">
        <v>45717</v>
      </c>
      <c r="E48" s="19" t="s">
        <v>51</v>
      </c>
    </row>
    <row r="49" spans="1:5" ht="16.5" thickBot="1" x14ac:dyDescent="0.25">
      <c r="A49" s="16">
        <v>1075</v>
      </c>
      <c r="B49" s="24" t="s">
        <v>53</v>
      </c>
      <c r="C49" s="28">
        <v>1012506337</v>
      </c>
      <c r="D49" s="19">
        <v>45717</v>
      </c>
      <c r="E49" s="19" t="s">
        <v>51</v>
      </c>
    </row>
    <row r="50" spans="1:5" ht="16.5" thickBot="1" x14ac:dyDescent="0.25">
      <c r="A50" s="16">
        <v>1076</v>
      </c>
      <c r="B50" s="24" t="s">
        <v>54</v>
      </c>
      <c r="C50" s="28">
        <v>1287209807</v>
      </c>
      <c r="D50" s="19">
        <v>45717</v>
      </c>
      <c r="E50" s="19" t="s">
        <v>51</v>
      </c>
    </row>
    <row r="51" spans="1:5" ht="16.5" thickBot="1" x14ac:dyDescent="0.25">
      <c r="A51" s="16">
        <v>1077</v>
      </c>
      <c r="B51" s="24" t="s">
        <v>55</v>
      </c>
      <c r="C51" s="28">
        <v>1018959195</v>
      </c>
      <c r="D51" s="19">
        <v>45717</v>
      </c>
      <c r="E51" s="19" t="s">
        <v>51</v>
      </c>
    </row>
    <row r="52" spans="1:5" ht="16.5" thickBot="1" x14ac:dyDescent="0.25">
      <c r="A52" s="16">
        <v>1078</v>
      </c>
      <c r="B52" s="24" t="s">
        <v>56</v>
      </c>
      <c r="C52" s="28">
        <v>1011876853</v>
      </c>
      <c r="D52" s="19">
        <v>45717</v>
      </c>
      <c r="E52" s="19" t="s">
        <v>51</v>
      </c>
    </row>
    <row r="53" spans="1:5" ht="16.5" thickBot="1" x14ac:dyDescent="0.25">
      <c r="A53" s="16">
        <v>1079</v>
      </c>
      <c r="B53" s="24" t="s">
        <v>57</v>
      </c>
      <c r="C53" s="28">
        <v>1002285133</v>
      </c>
      <c r="D53" s="19">
        <v>45717</v>
      </c>
      <c r="E53" s="19" t="s">
        <v>51</v>
      </c>
    </row>
    <row r="54" spans="1:5" ht="16.5" thickBot="1" x14ac:dyDescent="0.25">
      <c r="A54" s="37">
        <v>1182</v>
      </c>
      <c r="B54" s="24" t="s">
        <v>58</v>
      </c>
      <c r="C54" s="25">
        <v>1015912208</v>
      </c>
      <c r="D54" s="19">
        <v>45839</v>
      </c>
      <c r="E54" s="19" t="s">
        <v>51</v>
      </c>
    </row>
    <row r="55" spans="1:5" ht="16.5" thickBot="1" x14ac:dyDescent="0.25">
      <c r="A55" s="35">
        <v>1203</v>
      </c>
      <c r="B55" s="24" t="s">
        <v>59</v>
      </c>
      <c r="C55" s="25">
        <v>1032003514</v>
      </c>
      <c r="D55" s="19">
        <v>45872</v>
      </c>
      <c r="E55" s="19" t="s">
        <v>51</v>
      </c>
    </row>
    <row r="56" spans="1:5" ht="16.5" thickBot="1" x14ac:dyDescent="0.25">
      <c r="A56" s="35">
        <v>1195</v>
      </c>
      <c r="B56" s="24" t="s">
        <v>60</v>
      </c>
      <c r="C56" s="25">
        <v>1032897341</v>
      </c>
      <c r="D56" s="19">
        <v>45872</v>
      </c>
      <c r="E56" s="19" t="s">
        <v>51</v>
      </c>
    </row>
    <row r="57" spans="1:5" ht="16.5" thickBot="1" x14ac:dyDescent="0.25">
      <c r="A57" s="35">
        <v>1202</v>
      </c>
      <c r="B57" s="24" t="s">
        <v>61</v>
      </c>
      <c r="C57" s="25">
        <v>1069633698</v>
      </c>
      <c r="D57" s="19">
        <v>45872</v>
      </c>
      <c r="E57" s="19" t="s">
        <v>51</v>
      </c>
    </row>
    <row r="58" spans="1:5" ht="16.5" thickBot="1" x14ac:dyDescent="0.25">
      <c r="A58" s="35">
        <v>1196</v>
      </c>
      <c r="B58" s="24" t="s">
        <v>62</v>
      </c>
      <c r="C58" s="25">
        <v>1014872718</v>
      </c>
      <c r="D58" s="19">
        <v>45872</v>
      </c>
      <c r="E58" s="19" t="s">
        <v>51</v>
      </c>
    </row>
    <row r="59" spans="1:5" ht="16.5" thickBot="1" x14ac:dyDescent="0.25">
      <c r="A59" s="35">
        <v>1201</v>
      </c>
      <c r="B59" s="24" t="s">
        <v>63</v>
      </c>
      <c r="C59" s="25">
        <v>1063030657</v>
      </c>
      <c r="D59" s="19">
        <v>45872</v>
      </c>
      <c r="E59" s="19" t="s">
        <v>51</v>
      </c>
    </row>
    <row r="60" spans="1:5" ht="16.5" thickBot="1" x14ac:dyDescent="0.25">
      <c r="A60" s="38">
        <v>1210</v>
      </c>
      <c r="B60" s="39" t="s">
        <v>64</v>
      </c>
      <c r="C60" s="37">
        <v>1208390424</v>
      </c>
      <c r="D60" s="19">
        <v>45874</v>
      </c>
      <c r="E60" s="19" t="s">
        <v>41</v>
      </c>
    </row>
    <row r="61" spans="1:5" ht="16.5" thickBot="1" x14ac:dyDescent="0.25">
      <c r="A61" s="35">
        <v>1211</v>
      </c>
      <c r="B61" s="36" t="s">
        <v>65</v>
      </c>
      <c r="C61" s="25">
        <v>1020308340</v>
      </c>
      <c r="D61" s="19">
        <v>45875</v>
      </c>
      <c r="E61" s="19" t="s">
        <v>51</v>
      </c>
    </row>
    <row r="62" spans="1:5" ht="16.5" thickBot="1" x14ac:dyDescent="0.25">
      <c r="A62" s="35">
        <v>1213</v>
      </c>
      <c r="B62" s="36" t="s">
        <v>66</v>
      </c>
      <c r="C62" s="25">
        <v>1010789247</v>
      </c>
      <c r="D62" s="19">
        <v>45879</v>
      </c>
      <c r="E62" s="19" t="s">
        <v>51</v>
      </c>
    </row>
    <row r="63" spans="1:5" ht="16.5" thickBot="1" x14ac:dyDescent="0.25">
      <c r="A63" s="40">
        <v>1217</v>
      </c>
      <c r="B63" s="36" t="s">
        <v>67</v>
      </c>
      <c r="C63" s="41">
        <v>1004505670</v>
      </c>
      <c r="D63" s="19">
        <v>45879</v>
      </c>
      <c r="E63" s="19" t="s">
        <v>51</v>
      </c>
    </row>
    <row r="64" spans="1:5" ht="16.5" thickBot="1" x14ac:dyDescent="0.25">
      <c r="A64" s="38">
        <v>1219</v>
      </c>
      <c r="B64" s="39" t="s">
        <v>68</v>
      </c>
      <c r="C64" s="41">
        <v>1204515628</v>
      </c>
      <c r="D64" s="19">
        <v>45882</v>
      </c>
      <c r="E64" s="19" t="s">
        <v>41</v>
      </c>
    </row>
    <row r="65" spans="1:5" ht="16.5" thickBot="1" x14ac:dyDescent="0.25">
      <c r="A65" s="38">
        <v>1263</v>
      </c>
      <c r="B65" s="39" t="s">
        <v>69</v>
      </c>
      <c r="C65" s="41">
        <v>1212070895</v>
      </c>
      <c r="D65" s="19">
        <v>45915</v>
      </c>
      <c r="E65" s="19" t="s">
        <v>41</v>
      </c>
    </row>
    <row r="66" spans="1:5" ht="16.5" thickBot="1" x14ac:dyDescent="0.25">
      <c r="A66" s="38">
        <v>1273</v>
      </c>
      <c r="B66" s="39" t="s">
        <v>70</v>
      </c>
      <c r="C66" s="42">
        <v>1015812638</v>
      </c>
      <c r="D66" s="19">
        <v>45923</v>
      </c>
      <c r="E66" s="19" t="s">
        <v>51</v>
      </c>
    </row>
    <row r="67" spans="1:5" ht="16.5" thickBot="1" x14ac:dyDescent="0.25">
      <c r="A67" s="38">
        <v>1277</v>
      </c>
      <c r="B67" s="39" t="s">
        <v>71</v>
      </c>
      <c r="C67" s="42">
        <v>1014005798</v>
      </c>
      <c r="D67" s="19">
        <v>45923</v>
      </c>
      <c r="E67" s="19" t="s">
        <v>51</v>
      </c>
    </row>
    <row r="68" spans="1:5" ht="16.5" thickBot="1" x14ac:dyDescent="0.25">
      <c r="A68" s="38">
        <v>1290</v>
      </c>
      <c r="B68" s="39" t="s">
        <v>72</v>
      </c>
      <c r="C68" s="42">
        <v>1061747283</v>
      </c>
      <c r="D68" s="19">
        <v>45923</v>
      </c>
      <c r="E68" s="19" t="s">
        <v>51</v>
      </c>
    </row>
    <row r="69" spans="1:5" ht="16.5" thickBot="1" x14ac:dyDescent="0.25">
      <c r="A69" s="38">
        <v>1279</v>
      </c>
      <c r="B69" s="39" t="s">
        <v>73</v>
      </c>
      <c r="C69" s="42">
        <v>1206163705</v>
      </c>
      <c r="D69" s="19">
        <v>45923</v>
      </c>
      <c r="E69" s="19" t="s">
        <v>51</v>
      </c>
    </row>
    <row r="70" spans="1:5" ht="16.5" thickBot="1" x14ac:dyDescent="0.25">
      <c r="A70" s="38">
        <v>1285</v>
      </c>
      <c r="B70" s="39" t="s">
        <v>74</v>
      </c>
      <c r="C70" s="42">
        <v>1015248225</v>
      </c>
      <c r="D70" s="19">
        <v>45923</v>
      </c>
      <c r="E70" s="19" t="s">
        <v>51</v>
      </c>
    </row>
    <row r="71" spans="1:5" ht="16.5" thickBot="1" x14ac:dyDescent="0.25">
      <c r="A71" s="38">
        <v>1282</v>
      </c>
      <c r="B71" s="39" t="s">
        <v>75</v>
      </c>
      <c r="C71" s="42">
        <v>1062459233</v>
      </c>
      <c r="D71" s="19">
        <v>45923</v>
      </c>
      <c r="E71" s="19" t="s">
        <v>51</v>
      </c>
    </row>
    <row r="72" spans="1:5" ht="16.5" thickBot="1" x14ac:dyDescent="0.25">
      <c r="A72" s="38">
        <v>1276</v>
      </c>
      <c r="B72" s="39" t="s">
        <v>76</v>
      </c>
      <c r="C72" s="42">
        <v>1009602949</v>
      </c>
      <c r="D72" s="19">
        <v>45923</v>
      </c>
      <c r="E72" s="19" t="s">
        <v>51</v>
      </c>
    </row>
    <row r="73" spans="1:5" ht="16.5" thickBot="1" x14ac:dyDescent="0.25">
      <c r="A73" s="38">
        <v>1329</v>
      </c>
      <c r="B73" s="39" t="s">
        <v>77</v>
      </c>
      <c r="C73" s="28">
        <v>1272312021</v>
      </c>
      <c r="D73" s="19">
        <v>45931</v>
      </c>
      <c r="E73" s="19" t="s">
        <v>41</v>
      </c>
    </row>
    <row r="74" spans="1:5" ht="16.5" thickBot="1" x14ac:dyDescent="0.25">
      <c r="A74" s="38">
        <v>1328</v>
      </c>
      <c r="B74" s="39" t="s">
        <v>78</v>
      </c>
      <c r="C74" s="28">
        <v>1204119669</v>
      </c>
      <c r="D74" s="19">
        <v>45931</v>
      </c>
      <c r="E74" s="19" t="s">
        <v>41</v>
      </c>
    </row>
    <row r="75" spans="1:5" ht="16.5" thickBot="1" x14ac:dyDescent="0.25">
      <c r="A75" s="38">
        <v>1331</v>
      </c>
      <c r="B75" s="39" t="s">
        <v>79</v>
      </c>
      <c r="C75" s="28">
        <v>1200454547</v>
      </c>
      <c r="D75" s="19">
        <v>45931</v>
      </c>
      <c r="E75" s="19" t="s">
        <v>41</v>
      </c>
    </row>
    <row r="76" spans="1:5" ht="16.5" thickBot="1" x14ac:dyDescent="0.25">
      <c r="A76" s="38">
        <v>1330</v>
      </c>
      <c r="B76" s="39" t="s">
        <v>80</v>
      </c>
      <c r="C76" s="28">
        <v>1200149209</v>
      </c>
      <c r="D76" s="19">
        <v>45931</v>
      </c>
      <c r="E76" s="19" t="s">
        <v>41</v>
      </c>
    </row>
    <row r="77" spans="1:5" ht="16.5" thickBot="1" x14ac:dyDescent="0.25">
      <c r="A77" s="38">
        <v>1387</v>
      </c>
      <c r="B77" s="39" t="s">
        <v>81</v>
      </c>
      <c r="C77" s="28">
        <v>1222236145</v>
      </c>
      <c r="D77" s="19">
        <v>45963</v>
      </c>
      <c r="E77" s="19" t="s">
        <v>41</v>
      </c>
    </row>
    <row r="78" spans="1:5" ht="16.5" thickBot="1" x14ac:dyDescent="0.25">
      <c r="A78" s="38">
        <v>1388</v>
      </c>
      <c r="B78" s="39" t="s">
        <v>82</v>
      </c>
      <c r="C78" s="28">
        <v>1026289694</v>
      </c>
      <c r="D78" s="19">
        <v>45963</v>
      </c>
      <c r="E78" s="19" t="s">
        <v>41</v>
      </c>
    </row>
    <row r="79" spans="1:5" ht="16.5" thickBot="1" x14ac:dyDescent="0.25">
      <c r="A79" s="37">
        <v>1172</v>
      </c>
      <c r="B79" s="43" t="s">
        <v>84</v>
      </c>
      <c r="C79" s="25">
        <v>1003454989</v>
      </c>
      <c r="D79" s="19">
        <v>45839</v>
      </c>
      <c r="E79" s="19" t="s">
        <v>85</v>
      </c>
    </row>
    <row r="80" spans="1:5" ht="16.5" thickBot="1" x14ac:dyDescent="0.25">
      <c r="A80" s="35">
        <v>1134</v>
      </c>
      <c r="B80" s="24" t="s">
        <v>86</v>
      </c>
      <c r="C80" s="28">
        <v>1225931803</v>
      </c>
      <c r="D80" s="19">
        <v>45809</v>
      </c>
      <c r="E80" s="19" t="s">
        <v>85</v>
      </c>
    </row>
    <row r="81" spans="1:5" ht="16.5" thickBot="1" x14ac:dyDescent="0.25">
      <c r="A81" s="35">
        <v>1143</v>
      </c>
      <c r="B81" s="24" t="s">
        <v>87</v>
      </c>
      <c r="C81" s="28">
        <v>1102407962</v>
      </c>
      <c r="D81" s="19">
        <v>45809</v>
      </c>
      <c r="E81" s="19" t="s">
        <v>85</v>
      </c>
    </row>
    <row r="82" spans="1:5" ht="16.5" thickBot="1" x14ac:dyDescent="0.25">
      <c r="A82" s="35">
        <v>1170</v>
      </c>
      <c r="B82" s="24" t="s">
        <v>88</v>
      </c>
      <c r="C82" s="28">
        <v>1024006844</v>
      </c>
      <c r="D82" s="19">
        <v>45809</v>
      </c>
      <c r="E82" s="19" t="s">
        <v>85</v>
      </c>
    </row>
    <row r="83" spans="1:5" ht="16.5" thickBot="1" x14ac:dyDescent="0.25">
      <c r="A83" s="35">
        <v>1110</v>
      </c>
      <c r="B83" s="24" t="s">
        <v>89</v>
      </c>
      <c r="C83" s="28">
        <v>1229279915</v>
      </c>
      <c r="D83" s="19">
        <v>45809</v>
      </c>
      <c r="E83" s="19" t="s">
        <v>85</v>
      </c>
    </row>
    <row r="84" spans="1:5" ht="16.5" thickBot="1" x14ac:dyDescent="0.25">
      <c r="A84" s="26">
        <v>1144</v>
      </c>
      <c r="B84" s="24" t="s">
        <v>90</v>
      </c>
      <c r="C84" s="28">
        <v>1276105543</v>
      </c>
      <c r="D84" s="19">
        <v>45809</v>
      </c>
      <c r="E84" s="19" t="s">
        <v>85</v>
      </c>
    </row>
    <row r="85" spans="1:5" ht="16.5" thickBot="1" x14ac:dyDescent="0.25">
      <c r="A85" s="26">
        <v>1148</v>
      </c>
      <c r="B85" s="24" t="s">
        <v>91</v>
      </c>
      <c r="C85" s="28">
        <v>1205315131</v>
      </c>
      <c r="D85" s="19">
        <v>45809</v>
      </c>
      <c r="E85" s="19" t="s">
        <v>85</v>
      </c>
    </row>
    <row r="86" spans="1:5" ht="16.5" thickBot="1" x14ac:dyDescent="0.25">
      <c r="A86" s="26">
        <v>1161</v>
      </c>
      <c r="B86" s="36" t="s">
        <v>92</v>
      </c>
      <c r="C86" s="28">
        <v>1150939912</v>
      </c>
      <c r="D86" s="19">
        <v>45809</v>
      </c>
      <c r="E86" s="19" t="s">
        <v>85</v>
      </c>
    </row>
    <row r="87" spans="1:5" ht="16.5" thickBot="1" x14ac:dyDescent="0.25">
      <c r="A87" s="35">
        <v>1112</v>
      </c>
      <c r="B87" s="24" t="s">
        <v>93</v>
      </c>
      <c r="C87" s="28">
        <v>1220172436</v>
      </c>
      <c r="D87" s="19">
        <v>45809</v>
      </c>
      <c r="E87" s="19" t="s">
        <v>85</v>
      </c>
    </row>
    <row r="88" spans="1:5" ht="16.5" thickBot="1" x14ac:dyDescent="0.25">
      <c r="A88" s="35">
        <v>1113</v>
      </c>
      <c r="B88" s="24" t="s">
        <v>94</v>
      </c>
      <c r="C88" s="28">
        <v>1202415863</v>
      </c>
      <c r="D88" s="19">
        <v>45820</v>
      </c>
      <c r="E88" s="19" t="s">
        <v>85</v>
      </c>
    </row>
    <row r="89" spans="1:5" ht="16.5" thickBot="1" x14ac:dyDescent="0.25">
      <c r="A89" s="16">
        <v>1154</v>
      </c>
      <c r="B89" s="24" t="s">
        <v>95</v>
      </c>
      <c r="C89" s="28">
        <v>1278266716</v>
      </c>
      <c r="D89" s="19">
        <v>45809</v>
      </c>
      <c r="E89" s="19" t="s">
        <v>85</v>
      </c>
    </row>
    <row r="90" spans="1:5" ht="16.5" thickBot="1" x14ac:dyDescent="0.25">
      <c r="A90" s="26">
        <v>1118</v>
      </c>
      <c r="B90" s="24" t="s">
        <v>96</v>
      </c>
      <c r="C90" s="28">
        <v>1028521271</v>
      </c>
      <c r="D90" s="19">
        <v>45809</v>
      </c>
      <c r="E90" s="19" t="s">
        <v>97</v>
      </c>
    </row>
    <row r="91" spans="1:5" ht="16.5" thickBot="1" x14ac:dyDescent="0.25">
      <c r="A91" s="35">
        <v>1119</v>
      </c>
      <c r="B91" s="24" t="s">
        <v>98</v>
      </c>
      <c r="C91" s="28">
        <v>1064942882</v>
      </c>
      <c r="D91" s="19">
        <v>45809</v>
      </c>
      <c r="E91" s="19" t="s">
        <v>97</v>
      </c>
    </row>
    <row r="92" spans="1:5" ht="16.5" thickBot="1" x14ac:dyDescent="0.25">
      <c r="A92" s="26">
        <v>1114</v>
      </c>
      <c r="B92" s="24" t="s">
        <v>99</v>
      </c>
      <c r="C92" s="28">
        <v>1090142422</v>
      </c>
      <c r="D92" s="19">
        <v>45809</v>
      </c>
      <c r="E92" s="19" t="s">
        <v>97</v>
      </c>
    </row>
    <row r="93" spans="1:5" ht="16.5" thickBot="1" x14ac:dyDescent="0.25">
      <c r="A93" s="26">
        <v>1135</v>
      </c>
      <c r="B93" s="24" t="s">
        <v>100</v>
      </c>
      <c r="C93" s="28">
        <v>1010244225</v>
      </c>
      <c r="D93" s="19">
        <v>45809</v>
      </c>
      <c r="E93" s="19" t="s">
        <v>97</v>
      </c>
    </row>
    <row r="94" spans="1:5" ht="16.5" thickBot="1" x14ac:dyDescent="0.25">
      <c r="A94" s="26">
        <v>1151</v>
      </c>
      <c r="B94" s="24" t="s">
        <v>101</v>
      </c>
      <c r="C94" s="28">
        <v>1016473772</v>
      </c>
      <c r="D94" s="19">
        <v>45809</v>
      </c>
      <c r="E94" s="19" t="s">
        <v>97</v>
      </c>
    </row>
    <row r="95" spans="1:5" ht="16.5" thickBot="1" x14ac:dyDescent="0.25">
      <c r="A95" s="26">
        <v>1129</v>
      </c>
      <c r="B95" s="24" t="s">
        <v>288</v>
      </c>
      <c r="C95" s="28">
        <v>1025046148</v>
      </c>
      <c r="D95" s="19">
        <v>45809</v>
      </c>
      <c r="E95" s="19" t="s">
        <v>97</v>
      </c>
    </row>
    <row r="96" spans="1:5" ht="16.5" thickBot="1" x14ac:dyDescent="0.25">
      <c r="A96" s="26">
        <v>1141</v>
      </c>
      <c r="B96" s="24" t="s">
        <v>102</v>
      </c>
      <c r="C96" s="28">
        <v>1098101350</v>
      </c>
      <c r="D96" s="19">
        <v>45809</v>
      </c>
      <c r="E96" s="19" t="s">
        <v>97</v>
      </c>
    </row>
    <row r="97" spans="1:5" ht="16.5" thickBot="1" x14ac:dyDescent="0.25">
      <c r="A97" s="26">
        <v>1109</v>
      </c>
      <c r="B97" s="24" t="s">
        <v>103</v>
      </c>
      <c r="C97" s="28">
        <v>1274959423</v>
      </c>
      <c r="D97" s="19">
        <v>45809</v>
      </c>
      <c r="E97" s="19" t="s">
        <v>97</v>
      </c>
    </row>
    <row r="98" spans="1:5" ht="16.5" thickBot="1" x14ac:dyDescent="0.25">
      <c r="A98" s="26">
        <v>1136</v>
      </c>
      <c r="B98" s="36" t="s">
        <v>104</v>
      </c>
      <c r="C98" s="28">
        <v>1002119788</v>
      </c>
      <c r="D98" s="19">
        <v>45809</v>
      </c>
      <c r="E98" s="19" t="s">
        <v>97</v>
      </c>
    </row>
    <row r="99" spans="1:5" ht="16.5" thickBot="1" x14ac:dyDescent="0.25">
      <c r="A99" s="26">
        <v>1139</v>
      </c>
      <c r="B99" s="24" t="s">
        <v>105</v>
      </c>
      <c r="C99" s="28">
        <v>1094760129</v>
      </c>
      <c r="D99" s="19">
        <v>45809</v>
      </c>
      <c r="E99" s="19" t="s">
        <v>97</v>
      </c>
    </row>
    <row r="100" spans="1:5" ht="16.5" thickBot="1" x14ac:dyDescent="0.25">
      <c r="A100" s="26">
        <v>1152</v>
      </c>
      <c r="B100" s="24" t="s">
        <v>106</v>
      </c>
      <c r="C100" s="28">
        <v>1093517519</v>
      </c>
      <c r="D100" s="19">
        <v>45809</v>
      </c>
      <c r="E100" s="19" t="s">
        <v>97</v>
      </c>
    </row>
    <row r="101" spans="1:5" ht="16.5" thickBot="1" x14ac:dyDescent="0.25">
      <c r="A101" s="26">
        <v>1147</v>
      </c>
      <c r="B101" s="24" t="s">
        <v>107</v>
      </c>
      <c r="C101" s="28">
        <v>1066532725</v>
      </c>
      <c r="D101" s="19">
        <v>45809</v>
      </c>
      <c r="E101" s="19" t="s">
        <v>97</v>
      </c>
    </row>
    <row r="102" spans="1:5" ht="16.5" thickBot="1" x14ac:dyDescent="0.25">
      <c r="A102" s="26">
        <v>1150</v>
      </c>
      <c r="B102" s="24" t="s">
        <v>108</v>
      </c>
      <c r="C102" s="28">
        <v>1065437843</v>
      </c>
      <c r="D102" s="19">
        <v>45809</v>
      </c>
      <c r="E102" s="19" t="s">
        <v>97</v>
      </c>
    </row>
    <row r="103" spans="1:5" ht="16.5" thickBot="1" x14ac:dyDescent="0.25">
      <c r="A103" s="26">
        <v>1111</v>
      </c>
      <c r="B103" s="24" t="s">
        <v>109</v>
      </c>
      <c r="C103" s="28">
        <v>1015762713</v>
      </c>
      <c r="D103" s="19">
        <v>45818</v>
      </c>
      <c r="E103" s="19" t="s">
        <v>97</v>
      </c>
    </row>
    <row r="104" spans="1:5" ht="19.5" customHeight="1" thickBot="1" x14ac:dyDescent="0.25">
      <c r="A104" s="26">
        <v>1130</v>
      </c>
      <c r="B104" s="24" t="s">
        <v>110</v>
      </c>
      <c r="C104" s="28">
        <v>1093703584</v>
      </c>
      <c r="D104" s="19">
        <v>45809</v>
      </c>
      <c r="E104" s="19" t="s">
        <v>97</v>
      </c>
    </row>
    <row r="105" spans="1:5" ht="19.5" customHeight="1" thickBot="1" x14ac:dyDescent="0.25">
      <c r="A105" s="26">
        <v>1188</v>
      </c>
      <c r="B105" s="36" t="s">
        <v>111</v>
      </c>
      <c r="C105" s="28">
        <v>1015821396</v>
      </c>
      <c r="D105" s="19">
        <v>45853</v>
      </c>
      <c r="E105" s="19" t="s">
        <v>97</v>
      </c>
    </row>
    <row r="106" spans="1:5" ht="19.5" customHeight="1" thickBot="1" x14ac:dyDescent="0.25">
      <c r="A106" s="26">
        <v>1191</v>
      </c>
      <c r="B106" s="36" t="s">
        <v>112</v>
      </c>
      <c r="C106" s="28">
        <v>1070606601</v>
      </c>
      <c r="D106" s="19">
        <v>45859</v>
      </c>
      <c r="E106" s="19" t="s">
        <v>85</v>
      </c>
    </row>
    <row r="107" spans="1:5" ht="19.5" customHeight="1" thickBot="1" x14ac:dyDescent="0.25">
      <c r="A107" s="38">
        <v>1227</v>
      </c>
      <c r="B107" s="39" t="s">
        <v>113</v>
      </c>
      <c r="C107" s="28">
        <v>1273594086</v>
      </c>
      <c r="D107" s="19">
        <v>45893</v>
      </c>
      <c r="E107" s="19" t="s">
        <v>85</v>
      </c>
    </row>
    <row r="108" spans="1:5" ht="19.5" customHeight="1" thickBot="1" x14ac:dyDescent="0.25">
      <c r="A108" s="38">
        <v>1229</v>
      </c>
      <c r="B108" s="39" t="s">
        <v>114</v>
      </c>
      <c r="C108" s="28" t="s">
        <v>297</v>
      </c>
      <c r="D108" s="19">
        <v>45893</v>
      </c>
      <c r="E108" s="19" t="s">
        <v>85</v>
      </c>
    </row>
    <row r="109" spans="1:5" ht="19.5" customHeight="1" thickBot="1" x14ac:dyDescent="0.25">
      <c r="A109" s="38">
        <v>1231</v>
      </c>
      <c r="B109" s="39" t="s">
        <v>115</v>
      </c>
      <c r="C109" s="28">
        <v>1276479738</v>
      </c>
      <c r="D109" s="19">
        <v>45893</v>
      </c>
      <c r="E109" s="19" t="s">
        <v>85</v>
      </c>
    </row>
    <row r="110" spans="1:5" ht="19.5" customHeight="1" thickBot="1" x14ac:dyDescent="0.25">
      <c r="A110" s="38">
        <v>1225</v>
      </c>
      <c r="B110" s="39" t="s">
        <v>116</v>
      </c>
      <c r="C110" s="28">
        <v>1211889902</v>
      </c>
      <c r="D110" s="19">
        <v>45893</v>
      </c>
      <c r="E110" s="19" t="s">
        <v>85</v>
      </c>
    </row>
    <row r="111" spans="1:5" ht="19.5" customHeight="1" thickBot="1" x14ac:dyDescent="0.25">
      <c r="A111" s="38">
        <v>1228</v>
      </c>
      <c r="B111" s="39" t="s">
        <v>117</v>
      </c>
      <c r="C111" s="28">
        <v>1201067679</v>
      </c>
      <c r="D111" s="19">
        <v>45893</v>
      </c>
      <c r="E111" s="19" t="s">
        <v>85</v>
      </c>
    </row>
    <row r="112" spans="1:5" ht="19.5" customHeight="1" thickBot="1" x14ac:dyDescent="0.25">
      <c r="A112" s="38">
        <v>1226</v>
      </c>
      <c r="B112" s="39" t="s">
        <v>118</v>
      </c>
      <c r="C112" s="28">
        <v>1225309592</v>
      </c>
      <c r="D112" s="19">
        <v>45893</v>
      </c>
      <c r="E112" s="19" t="s">
        <v>85</v>
      </c>
    </row>
    <row r="113" spans="1:5" ht="19.5" customHeight="1" thickBot="1" x14ac:dyDescent="0.25">
      <c r="A113" s="38">
        <v>1232</v>
      </c>
      <c r="B113" s="39" t="s">
        <v>119</v>
      </c>
      <c r="C113" s="28">
        <v>1280406597</v>
      </c>
      <c r="D113" s="19">
        <v>45897</v>
      </c>
      <c r="E113" s="19" t="s">
        <v>85</v>
      </c>
    </row>
    <row r="114" spans="1:5" ht="19.5" customHeight="1" thickBot="1" x14ac:dyDescent="0.25">
      <c r="A114" s="38">
        <v>1233</v>
      </c>
      <c r="B114" s="39" t="s">
        <v>120</v>
      </c>
      <c r="C114" s="28">
        <v>1277993107</v>
      </c>
      <c r="D114" s="19">
        <v>45897</v>
      </c>
      <c r="E114" s="19" t="s">
        <v>85</v>
      </c>
    </row>
    <row r="115" spans="1:5" ht="19.5" customHeight="1" thickBot="1" x14ac:dyDescent="0.25">
      <c r="A115" s="38">
        <v>1238</v>
      </c>
      <c r="B115" s="39" t="s">
        <v>121</v>
      </c>
      <c r="C115" s="28">
        <v>1023584129</v>
      </c>
      <c r="D115" s="19">
        <v>45901</v>
      </c>
      <c r="E115" s="19" t="s">
        <v>97</v>
      </c>
    </row>
    <row r="116" spans="1:5" ht="19.5" customHeight="1" thickBot="1" x14ac:dyDescent="0.25">
      <c r="A116" s="38">
        <v>1243</v>
      </c>
      <c r="B116" s="39" t="s">
        <v>122</v>
      </c>
      <c r="C116" s="28" t="s">
        <v>300</v>
      </c>
      <c r="D116" s="19">
        <v>45901</v>
      </c>
      <c r="E116" s="19" t="s">
        <v>97</v>
      </c>
    </row>
    <row r="117" spans="1:5" ht="19.5" customHeight="1" thickBot="1" x14ac:dyDescent="0.25">
      <c r="A117" s="38">
        <v>1251</v>
      </c>
      <c r="B117" s="39" t="s">
        <v>123</v>
      </c>
      <c r="C117" s="28">
        <v>1012562977</v>
      </c>
      <c r="D117" s="19">
        <v>45901</v>
      </c>
      <c r="E117" s="19" t="s">
        <v>97</v>
      </c>
    </row>
    <row r="118" spans="1:5" ht="19.5" customHeight="1" thickBot="1" x14ac:dyDescent="0.25">
      <c r="A118" s="38">
        <v>1240</v>
      </c>
      <c r="B118" s="39" t="s">
        <v>124</v>
      </c>
      <c r="C118" s="28">
        <v>1026664298</v>
      </c>
      <c r="D118" s="19">
        <v>45901</v>
      </c>
      <c r="E118" s="19" t="s">
        <v>97</v>
      </c>
    </row>
    <row r="119" spans="1:5" ht="19.5" customHeight="1" thickBot="1" x14ac:dyDescent="0.25">
      <c r="A119" s="38">
        <v>1235</v>
      </c>
      <c r="B119" s="39" t="s">
        <v>125</v>
      </c>
      <c r="C119" s="28">
        <v>1090948201</v>
      </c>
      <c r="D119" s="19">
        <v>45901</v>
      </c>
      <c r="E119" s="19" t="s">
        <v>97</v>
      </c>
    </row>
    <row r="120" spans="1:5" ht="19.5" customHeight="1" thickBot="1" x14ac:dyDescent="0.25">
      <c r="A120" s="38">
        <v>1239</v>
      </c>
      <c r="B120" s="39" t="s">
        <v>126</v>
      </c>
      <c r="C120" s="28">
        <v>1014867758</v>
      </c>
      <c r="D120" s="19">
        <v>45901</v>
      </c>
      <c r="E120" s="19" t="s">
        <v>97</v>
      </c>
    </row>
    <row r="121" spans="1:5" ht="19.5" customHeight="1" thickBot="1" x14ac:dyDescent="0.25">
      <c r="A121" s="38">
        <v>1242</v>
      </c>
      <c r="B121" s="39" t="s">
        <v>127</v>
      </c>
      <c r="C121" s="28">
        <v>1020731997</v>
      </c>
      <c r="D121" s="19">
        <v>45901</v>
      </c>
      <c r="E121" s="19" t="s">
        <v>97</v>
      </c>
    </row>
    <row r="122" spans="1:5" ht="19.5" customHeight="1" thickBot="1" x14ac:dyDescent="0.25">
      <c r="A122" s="38">
        <v>1244</v>
      </c>
      <c r="B122" s="39" t="s">
        <v>128</v>
      </c>
      <c r="C122" s="28">
        <v>1003122268</v>
      </c>
      <c r="D122" s="19">
        <v>45901</v>
      </c>
      <c r="E122" s="19" t="s">
        <v>97</v>
      </c>
    </row>
    <row r="123" spans="1:5" ht="19.5" customHeight="1" thickBot="1" x14ac:dyDescent="0.25">
      <c r="A123" s="38">
        <v>1236</v>
      </c>
      <c r="B123" s="39" t="s">
        <v>129</v>
      </c>
      <c r="C123" s="28">
        <v>1013986591</v>
      </c>
      <c r="D123" s="19">
        <v>45901</v>
      </c>
      <c r="E123" s="19" t="s">
        <v>97</v>
      </c>
    </row>
    <row r="124" spans="1:5" ht="19.5" customHeight="1" thickBot="1" x14ac:dyDescent="0.25">
      <c r="A124" s="38">
        <v>1252</v>
      </c>
      <c r="B124" s="39" t="s">
        <v>130</v>
      </c>
      <c r="C124" s="28">
        <v>1017074328</v>
      </c>
      <c r="D124" s="19">
        <v>45901</v>
      </c>
      <c r="E124" s="19" t="s">
        <v>97</v>
      </c>
    </row>
    <row r="125" spans="1:5" ht="19.5" customHeight="1" thickBot="1" x14ac:dyDescent="0.25">
      <c r="A125" s="38">
        <v>1246</v>
      </c>
      <c r="B125" s="39" t="s">
        <v>131</v>
      </c>
      <c r="C125" s="28">
        <v>1020935606</v>
      </c>
      <c r="D125" s="19">
        <v>45901</v>
      </c>
      <c r="E125" s="19" t="s">
        <v>97</v>
      </c>
    </row>
    <row r="126" spans="1:5" ht="19.5" customHeight="1" thickBot="1" x14ac:dyDescent="0.25">
      <c r="A126" s="38">
        <v>1245</v>
      </c>
      <c r="B126" s="39" t="s">
        <v>132</v>
      </c>
      <c r="C126" s="28" t="s">
        <v>305</v>
      </c>
      <c r="D126" s="19">
        <v>45901</v>
      </c>
      <c r="E126" s="19" t="s">
        <v>97</v>
      </c>
    </row>
    <row r="127" spans="1:5" ht="19.5" customHeight="1" thickBot="1" x14ac:dyDescent="0.25">
      <c r="A127" s="38">
        <v>1237</v>
      </c>
      <c r="B127" s="39" t="s">
        <v>133</v>
      </c>
      <c r="C127" s="28">
        <v>1026981891</v>
      </c>
      <c r="D127" s="19">
        <v>45901</v>
      </c>
      <c r="E127" s="19" t="s">
        <v>97</v>
      </c>
    </row>
    <row r="128" spans="1:5" ht="19.5" customHeight="1" thickBot="1" x14ac:dyDescent="0.25">
      <c r="A128" s="38">
        <v>1257</v>
      </c>
      <c r="B128" s="39" t="s">
        <v>134</v>
      </c>
      <c r="C128" s="44">
        <v>1066056501</v>
      </c>
      <c r="D128" s="19">
        <v>45909</v>
      </c>
      <c r="E128" s="19" t="s">
        <v>97</v>
      </c>
    </row>
    <row r="129" spans="1:5" ht="19.5" customHeight="1" thickBot="1" x14ac:dyDescent="0.25">
      <c r="A129" s="38">
        <v>1281</v>
      </c>
      <c r="B129" s="39" t="s">
        <v>135</v>
      </c>
      <c r="C129" s="42">
        <v>1124458004</v>
      </c>
      <c r="D129" s="19">
        <v>45923</v>
      </c>
      <c r="E129" s="19" t="s">
        <v>85</v>
      </c>
    </row>
    <row r="130" spans="1:5" ht="19.5" customHeight="1" thickBot="1" x14ac:dyDescent="0.25">
      <c r="A130" s="38">
        <v>1283</v>
      </c>
      <c r="B130" s="39" t="s">
        <v>136</v>
      </c>
      <c r="C130" s="42">
        <v>1285673745</v>
      </c>
      <c r="D130" s="19">
        <v>45923</v>
      </c>
      <c r="E130" s="19" t="s">
        <v>85</v>
      </c>
    </row>
    <row r="131" spans="1:5" ht="19.5" customHeight="1" thickBot="1" x14ac:dyDescent="0.25">
      <c r="A131" s="38">
        <v>1280</v>
      </c>
      <c r="B131" s="39" t="s">
        <v>137</v>
      </c>
      <c r="C131" s="42">
        <v>1555015440</v>
      </c>
      <c r="D131" s="19">
        <v>45923</v>
      </c>
      <c r="E131" s="19" t="s">
        <v>85</v>
      </c>
    </row>
    <row r="132" spans="1:5" ht="19.5" customHeight="1" thickBot="1" x14ac:dyDescent="0.25">
      <c r="A132" s="38">
        <v>1272</v>
      </c>
      <c r="B132" s="39" t="s">
        <v>138</v>
      </c>
      <c r="C132" s="42">
        <v>1271190812</v>
      </c>
      <c r="D132" s="19">
        <v>45923</v>
      </c>
      <c r="E132" s="19" t="s">
        <v>85</v>
      </c>
    </row>
    <row r="133" spans="1:5" ht="19.5" customHeight="1" thickBot="1" x14ac:dyDescent="0.25">
      <c r="A133" s="38">
        <v>1278</v>
      </c>
      <c r="B133" s="39" t="s">
        <v>139</v>
      </c>
      <c r="C133" s="42">
        <v>1270939965</v>
      </c>
      <c r="D133" s="19">
        <v>45923</v>
      </c>
      <c r="E133" s="19" t="s">
        <v>85</v>
      </c>
    </row>
    <row r="134" spans="1:5" ht="19.5" customHeight="1" thickBot="1" x14ac:dyDescent="0.25">
      <c r="A134" s="38">
        <v>1287</v>
      </c>
      <c r="B134" s="39" t="s">
        <v>140</v>
      </c>
      <c r="C134" s="42">
        <v>1206236295</v>
      </c>
      <c r="D134" s="19">
        <v>45923</v>
      </c>
      <c r="E134" s="19" t="s">
        <v>85</v>
      </c>
    </row>
    <row r="135" spans="1:5" ht="19.5" customHeight="1" thickBot="1" x14ac:dyDescent="0.25">
      <c r="A135" s="38">
        <v>1271</v>
      </c>
      <c r="B135" s="39" t="s">
        <v>141</v>
      </c>
      <c r="C135" s="42">
        <v>1200900913</v>
      </c>
      <c r="D135" s="19">
        <v>45923</v>
      </c>
      <c r="E135" s="19" t="s">
        <v>85</v>
      </c>
    </row>
    <row r="136" spans="1:5" ht="19.5" customHeight="1" thickBot="1" x14ac:dyDescent="0.25">
      <c r="A136" s="38">
        <v>1297</v>
      </c>
      <c r="B136" s="39" t="s">
        <v>142</v>
      </c>
      <c r="C136" s="28">
        <v>1067542679</v>
      </c>
      <c r="D136" s="19">
        <v>45931</v>
      </c>
      <c r="E136" s="19" t="s">
        <v>97</v>
      </c>
    </row>
    <row r="137" spans="1:5" ht="19.5" customHeight="1" thickBot="1" x14ac:dyDescent="0.25">
      <c r="A137" s="38">
        <v>1293</v>
      </c>
      <c r="B137" s="39" t="s">
        <v>143</v>
      </c>
      <c r="C137" s="28">
        <v>1067608994</v>
      </c>
      <c r="D137" s="19">
        <v>45931</v>
      </c>
      <c r="E137" s="19" t="s">
        <v>97</v>
      </c>
    </row>
    <row r="138" spans="1:5" ht="19.5" customHeight="1" thickBot="1" x14ac:dyDescent="0.25">
      <c r="A138" s="38">
        <v>1294</v>
      </c>
      <c r="B138" s="39" t="s">
        <v>144</v>
      </c>
      <c r="C138" s="28">
        <v>1009931483</v>
      </c>
      <c r="D138" s="19">
        <v>45931</v>
      </c>
      <c r="E138" s="19" t="s">
        <v>97</v>
      </c>
    </row>
    <row r="139" spans="1:5" ht="19.5" customHeight="1" thickBot="1" x14ac:dyDescent="0.25">
      <c r="A139" s="38">
        <v>1306</v>
      </c>
      <c r="B139" s="39" t="s">
        <v>145</v>
      </c>
      <c r="C139" s="28">
        <v>1212357877</v>
      </c>
      <c r="D139" s="19">
        <v>45931</v>
      </c>
      <c r="E139" s="19" t="s">
        <v>97</v>
      </c>
    </row>
    <row r="140" spans="1:5" ht="19.5" customHeight="1" thickBot="1" x14ac:dyDescent="0.25">
      <c r="A140" s="38">
        <v>1305</v>
      </c>
      <c r="B140" s="39" t="s">
        <v>146</v>
      </c>
      <c r="C140" s="28">
        <v>1099871787</v>
      </c>
      <c r="D140" s="19">
        <v>45931</v>
      </c>
      <c r="E140" s="19" t="s">
        <v>97</v>
      </c>
    </row>
    <row r="141" spans="1:5" ht="19.5" customHeight="1" thickBot="1" x14ac:dyDescent="0.25">
      <c r="A141" s="38">
        <v>1298</v>
      </c>
      <c r="B141" s="39" t="s">
        <v>147</v>
      </c>
      <c r="C141" s="28">
        <v>1092361428</v>
      </c>
      <c r="D141" s="19">
        <v>45931</v>
      </c>
      <c r="E141" s="19" t="s">
        <v>97</v>
      </c>
    </row>
    <row r="142" spans="1:5" ht="19.5" customHeight="1" thickBot="1" x14ac:dyDescent="0.25">
      <c r="A142" s="38">
        <v>1304</v>
      </c>
      <c r="B142" s="39" t="s">
        <v>148</v>
      </c>
      <c r="C142" s="28">
        <v>1092526116</v>
      </c>
      <c r="D142" s="19">
        <v>45931</v>
      </c>
      <c r="E142" s="19" t="s">
        <v>97</v>
      </c>
    </row>
    <row r="143" spans="1:5" ht="19.5" customHeight="1" thickBot="1" x14ac:dyDescent="0.25">
      <c r="A143" s="38">
        <v>1299</v>
      </c>
      <c r="B143" s="39" t="s">
        <v>149</v>
      </c>
      <c r="C143" s="28">
        <v>1097946142</v>
      </c>
      <c r="D143" s="19">
        <v>45931</v>
      </c>
      <c r="E143" s="19" t="s">
        <v>97</v>
      </c>
    </row>
    <row r="144" spans="1:5" ht="19.5" customHeight="1" thickBot="1" x14ac:dyDescent="0.25">
      <c r="A144" s="38">
        <v>1295</v>
      </c>
      <c r="B144" s="39" t="s">
        <v>150</v>
      </c>
      <c r="C144" s="28">
        <v>1023632795</v>
      </c>
      <c r="D144" s="19">
        <v>45931</v>
      </c>
      <c r="E144" s="19" t="s">
        <v>97</v>
      </c>
    </row>
    <row r="145" spans="1:5" ht="19.5" customHeight="1" thickBot="1" x14ac:dyDescent="0.25">
      <c r="A145" s="38">
        <v>1301</v>
      </c>
      <c r="B145" s="39" t="s">
        <v>151</v>
      </c>
      <c r="C145" s="28">
        <v>1023834904</v>
      </c>
      <c r="D145" s="19">
        <v>45931</v>
      </c>
      <c r="E145" s="19" t="s">
        <v>97</v>
      </c>
    </row>
    <row r="146" spans="1:5" ht="19.5" customHeight="1" thickBot="1" x14ac:dyDescent="0.25">
      <c r="A146" s="38">
        <v>1303</v>
      </c>
      <c r="B146" s="39" t="s">
        <v>152</v>
      </c>
      <c r="C146" s="28">
        <v>1028306580</v>
      </c>
      <c r="D146" s="19">
        <v>45931</v>
      </c>
      <c r="E146" s="19" t="s">
        <v>97</v>
      </c>
    </row>
    <row r="147" spans="1:5" ht="19.5" customHeight="1" thickBot="1" x14ac:dyDescent="0.25">
      <c r="A147" s="38">
        <v>1300</v>
      </c>
      <c r="B147" s="39" t="s">
        <v>153</v>
      </c>
      <c r="C147" s="28">
        <v>1004015930</v>
      </c>
      <c r="D147" s="19">
        <v>45931</v>
      </c>
      <c r="E147" s="19" t="s">
        <v>97</v>
      </c>
    </row>
    <row r="148" spans="1:5" ht="19.5" customHeight="1" thickBot="1" x14ac:dyDescent="0.25">
      <c r="A148" s="38">
        <v>1337</v>
      </c>
      <c r="B148" s="39" t="s">
        <v>154</v>
      </c>
      <c r="C148" s="28">
        <v>1019893346</v>
      </c>
      <c r="D148" s="19">
        <v>45935</v>
      </c>
      <c r="E148" s="19" t="s">
        <v>85</v>
      </c>
    </row>
    <row r="149" spans="1:5" ht="19.5" customHeight="1" thickBot="1" x14ac:dyDescent="0.25">
      <c r="A149" s="38">
        <v>1336</v>
      </c>
      <c r="B149" s="39" t="s">
        <v>155</v>
      </c>
      <c r="C149" s="28">
        <v>1280477806</v>
      </c>
      <c r="D149" s="19">
        <v>45935</v>
      </c>
      <c r="E149" s="19" t="s">
        <v>97</v>
      </c>
    </row>
    <row r="150" spans="1:5" ht="19.5" customHeight="1" thickBot="1" x14ac:dyDescent="0.25">
      <c r="A150" s="38">
        <v>1338</v>
      </c>
      <c r="B150" s="39" t="s">
        <v>156</v>
      </c>
      <c r="C150" s="28">
        <v>1090519463</v>
      </c>
      <c r="D150" s="19">
        <v>45936</v>
      </c>
      <c r="E150" s="19" t="s">
        <v>97</v>
      </c>
    </row>
    <row r="151" spans="1:5" ht="19.5" customHeight="1" thickBot="1" x14ac:dyDescent="0.25">
      <c r="A151" s="38">
        <v>1395</v>
      </c>
      <c r="B151" s="39" t="s">
        <v>157</v>
      </c>
      <c r="C151" s="28">
        <v>1222460115</v>
      </c>
      <c r="D151" s="19">
        <v>45963</v>
      </c>
      <c r="E151" s="19" t="s">
        <v>85</v>
      </c>
    </row>
    <row r="152" spans="1:5" ht="16.5" thickBot="1" x14ac:dyDescent="0.25">
      <c r="A152" s="38">
        <v>1396</v>
      </c>
      <c r="B152" s="39" t="s">
        <v>158</v>
      </c>
      <c r="C152" s="28">
        <v>1018171475</v>
      </c>
      <c r="D152" s="19">
        <v>45963</v>
      </c>
      <c r="E152" s="19" t="s">
        <v>85</v>
      </c>
    </row>
    <row r="153" spans="1:5" ht="16.5" thickBot="1" x14ac:dyDescent="0.25">
      <c r="A153" s="38">
        <v>1397</v>
      </c>
      <c r="B153" s="39" t="s">
        <v>159</v>
      </c>
      <c r="C153" s="28">
        <v>1211585732</v>
      </c>
      <c r="D153" s="19">
        <v>45963</v>
      </c>
      <c r="E153" s="19" t="s">
        <v>85</v>
      </c>
    </row>
    <row r="154" spans="1:5" ht="16.5" thickBot="1" x14ac:dyDescent="0.25">
      <c r="A154" s="38">
        <v>1398</v>
      </c>
      <c r="B154" s="39" t="s">
        <v>160</v>
      </c>
      <c r="C154" s="28">
        <v>1211662969</v>
      </c>
      <c r="D154" s="19">
        <v>45963</v>
      </c>
      <c r="E154" s="19" t="s">
        <v>85</v>
      </c>
    </row>
    <row r="155" spans="1:5" ht="16.5" thickBot="1" x14ac:dyDescent="0.25">
      <c r="A155" s="38">
        <v>1399</v>
      </c>
      <c r="B155" s="39" t="s">
        <v>161</v>
      </c>
      <c r="C155" s="28">
        <v>1013343107</v>
      </c>
      <c r="D155" s="19">
        <v>45963</v>
      </c>
      <c r="E155" s="19" t="s">
        <v>97</v>
      </c>
    </row>
    <row r="156" spans="1:5" ht="16.5" thickBot="1" x14ac:dyDescent="0.25">
      <c r="A156" s="38">
        <v>1402</v>
      </c>
      <c r="B156" s="39" t="s">
        <v>162</v>
      </c>
      <c r="C156" s="28">
        <v>1069790106</v>
      </c>
      <c r="D156" s="19">
        <v>45963</v>
      </c>
      <c r="E156" s="19" t="s">
        <v>97</v>
      </c>
    </row>
    <row r="157" spans="1:5" ht="16.5" thickBot="1" x14ac:dyDescent="0.25">
      <c r="A157" s="38">
        <v>1403</v>
      </c>
      <c r="B157" s="39" t="s">
        <v>163</v>
      </c>
      <c r="C157" s="28">
        <v>1011921931</v>
      </c>
      <c r="D157" s="19">
        <v>45963</v>
      </c>
      <c r="E157" s="19" t="s">
        <v>97</v>
      </c>
    </row>
    <row r="158" spans="1:5" ht="16.5" thickBot="1" x14ac:dyDescent="0.25">
      <c r="A158" s="38">
        <v>1405</v>
      </c>
      <c r="B158" s="39" t="s">
        <v>164</v>
      </c>
      <c r="C158" s="28">
        <v>1008815076</v>
      </c>
      <c r="D158" s="19">
        <v>45963</v>
      </c>
      <c r="E158" s="19" t="s">
        <v>97</v>
      </c>
    </row>
    <row r="159" spans="1:5" ht="16.5" thickBot="1" x14ac:dyDescent="0.25">
      <c r="A159" s="38">
        <v>1406</v>
      </c>
      <c r="B159" s="39" t="s">
        <v>165</v>
      </c>
      <c r="C159" s="28">
        <v>1091806010</v>
      </c>
      <c r="D159" s="19">
        <v>45963</v>
      </c>
      <c r="E159" s="19" t="s">
        <v>97</v>
      </c>
    </row>
    <row r="160" spans="1:5" ht="16.5" thickBot="1" x14ac:dyDescent="0.25">
      <c r="A160" s="38">
        <v>1407</v>
      </c>
      <c r="B160" s="39" t="s">
        <v>166</v>
      </c>
      <c r="C160" s="28">
        <v>1280397808</v>
      </c>
      <c r="D160" s="19">
        <v>45963</v>
      </c>
      <c r="E160" s="19" t="s">
        <v>97</v>
      </c>
    </row>
    <row r="161" spans="1:5" ht="16.5" thickBot="1" x14ac:dyDescent="0.25">
      <c r="A161" s="38">
        <v>1408</v>
      </c>
      <c r="B161" s="39" t="s">
        <v>167</v>
      </c>
      <c r="C161" s="28">
        <v>1099576547</v>
      </c>
      <c r="D161" s="19">
        <v>45963</v>
      </c>
      <c r="E161" s="19" t="s">
        <v>97</v>
      </c>
    </row>
    <row r="162" spans="1:5" ht="16.5" thickBot="1" x14ac:dyDescent="0.25">
      <c r="A162" s="38">
        <v>1409</v>
      </c>
      <c r="B162" s="39" t="s">
        <v>168</v>
      </c>
      <c r="C162" s="28">
        <v>1019162491</v>
      </c>
      <c r="D162" s="19">
        <v>45963</v>
      </c>
      <c r="E162" s="19" t="s">
        <v>97</v>
      </c>
    </row>
    <row r="163" spans="1:5" ht="16.5" thickBot="1" x14ac:dyDescent="0.25">
      <c r="A163" s="38">
        <v>1410</v>
      </c>
      <c r="B163" s="39" t="s">
        <v>169</v>
      </c>
      <c r="C163" s="28">
        <v>1066923608</v>
      </c>
      <c r="D163" s="19">
        <v>45963</v>
      </c>
      <c r="E163" s="19" t="s">
        <v>97</v>
      </c>
    </row>
    <row r="164" spans="1:5" ht="16.5" thickBot="1" x14ac:dyDescent="0.25">
      <c r="A164" s="38">
        <v>1411</v>
      </c>
      <c r="B164" s="39" t="s">
        <v>170</v>
      </c>
      <c r="C164" s="28">
        <v>1063432653</v>
      </c>
      <c r="D164" s="19">
        <v>45963</v>
      </c>
      <c r="E164" s="19" t="s">
        <v>97</v>
      </c>
    </row>
    <row r="165" spans="1:5" ht="16.5" thickBot="1" x14ac:dyDescent="0.25">
      <c r="A165" s="38">
        <v>1412</v>
      </c>
      <c r="B165" s="39" t="s">
        <v>171</v>
      </c>
      <c r="C165" s="28">
        <v>1015464929</v>
      </c>
      <c r="D165" s="19">
        <v>45963</v>
      </c>
      <c r="E165" s="19" t="s">
        <v>97</v>
      </c>
    </row>
    <row r="166" spans="1:5" ht="16.5" thickBot="1" x14ac:dyDescent="0.25">
      <c r="A166" s="38">
        <v>1413</v>
      </c>
      <c r="B166" s="39" t="s">
        <v>172</v>
      </c>
      <c r="C166" s="28">
        <v>1015808901</v>
      </c>
      <c r="D166" s="19">
        <v>45963</v>
      </c>
      <c r="E166" s="19" t="s">
        <v>97</v>
      </c>
    </row>
    <row r="167" spans="1:5" ht="16.5" thickBot="1" x14ac:dyDescent="0.25">
      <c r="A167" s="38">
        <v>1414</v>
      </c>
      <c r="B167" s="39" t="s">
        <v>173</v>
      </c>
      <c r="C167" s="28">
        <v>1025301788</v>
      </c>
      <c r="D167" s="19">
        <v>45963</v>
      </c>
      <c r="E167" s="19" t="s">
        <v>97</v>
      </c>
    </row>
    <row r="168" spans="1:5" ht="16.5" thickBot="1" x14ac:dyDescent="0.25">
      <c r="A168" s="38">
        <v>1381</v>
      </c>
      <c r="B168" s="39" t="s">
        <v>174</v>
      </c>
      <c r="C168" s="28">
        <v>1014960940</v>
      </c>
      <c r="D168" s="19">
        <v>45963</v>
      </c>
      <c r="E168" s="19" t="s">
        <v>97</v>
      </c>
    </row>
    <row r="169" spans="1:5" ht="16.5" thickBot="1" x14ac:dyDescent="0.25">
      <c r="A169" s="38">
        <v>1424</v>
      </c>
      <c r="B169" s="39" t="s">
        <v>175</v>
      </c>
      <c r="C169" s="28">
        <v>1013135214</v>
      </c>
      <c r="D169" s="19">
        <v>45970</v>
      </c>
      <c r="E169" s="19" t="s">
        <v>85</v>
      </c>
    </row>
    <row r="170" spans="1:5" ht="16.5" thickBot="1" x14ac:dyDescent="0.25">
      <c r="A170" s="38">
        <v>1423</v>
      </c>
      <c r="B170" s="39" t="s">
        <v>176</v>
      </c>
      <c r="C170" s="28">
        <v>1017215350</v>
      </c>
      <c r="D170" s="19">
        <v>45970</v>
      </c>
      <c r="E170" s="19" t="s">
        <v>97</v>
      </c>
    </row>
    <row r="171" spans="1:5" ht="16.5" thickBot="1" x14ac:dyDescent="0.25">
      <c r="A171" s="38">
        <v>1419</v>
      </c>
      <c r="B171" s="39" t="s">
        <v>177</v>
      </c>
      <c r="C171" s="28">
        <v>1097442093</v>
      </c>
      <c r="D171" s="19">
        <v>45970</v>
      </c>
      <c r="E171" s="19" t="s">
        <v>97</v>
      </c>
    </row>
    <row r="172" spans="1:5" ht="16.5" thickBot="1" x14ac:dyDescent="0.25">
      <c r="A172" s="38">
        <v>1427</v>
      </c>
      <c r="B172" s="39" t="s">
        <v>274</v>
      </c>
      <c r="C172" s="28">
        <v>1010517521</v>
      </c>
      <c r="D172" s="19">
        <v>45977</v>
      </c>
      <c r="E172" s="19" t="s">
        <v>97</v>
      </c>
    </row>
    <row r="173" spans="1:5" ht="16.5" thickBot="1" x14ac:dyDescent="0.25">
      <c r="A173" s="38">
        <v>1448</v>
      </c>
      <c r="B173" s="39" t="s">
        <v>285</v>
      </c>
      <c r="C173" s="28">
        <v>1062346248</v>
      </c>
      <c r="D173" s="19">
        <v>46005</v>
      </c>
      <c r="E173" s="19" t="s">
        <v>97</v>
      </c>
    </row>
    <row r="174" spans="1:5" ht="16.5" thickBot="1" x14ac:dyDescent="0.25">
      <c r="A174" s="38">
        <v>1102</v>
      </c>
      <c r="B174" s="39" t="s">
        <v>179</v>
      </c>
      <c r="C174" s="45">
        <v>1064071811</v>
      </c>
      <c r="D174" s="19">
        <v>45781</v>
      </c>
      <c r="E174" s="19" t="s">
        <v>180</v>
      </c>
    </row>
    <row r="175" spans="1:5" ht="16.5" thickBot="1" x14ac:dyDescent="0.25">
      <c r="A175" s="38">
        <v>1169</v>
      </c>
      <c r="B175" s="39" t="s">
        <v>181</v>
      </c>
      <c r="C175" s="45">
        <v>1223837242</v>
      </c>
      <c r="D175" s="19">
        <v>45824</v>
      </c>
      <c r="E175" s="19" t="s">
        <v>10</v>
      </c>
    </row>
    <row r="176" spans="1:5" ht="16.5" thickBot="1" x14ac:dyDescent="0.25">
      <c r="A176" s="38">
        <v>1193</v>
      </c>
      <c r="B176" s="39" t="s">
        <v>182</v>
      </c>
      <c r="C176" s="45">
        <v>1124581132</v>
      </c>
      <c r="D176" s="19">
        <v>45860</v>
      </c>
      <c r="E176" s="19" t="s">
        <v>180</v>
      </c>
    </row>
    <row r="177" spans="1:5" ht="16.5" thickBot="1" x14ac:dyDescent="0.25">
      <c r="A177" s="38">
        <v>1258</v>
      </c>
      <c r="B177" s="39" t="s">
        <v>183</v>
      </c>
      <c r="C177" s="45" t="s">
        <v>184</v>
      </c>
      <c r="D177" s="19">
        <v>45914</v>
      </c>
      <c r="E177" s="19" t="s">
        <v>180</v>
      </c>
    </row>
    <row r="178" spans="1:5" ht="16.5" thickBot="1" x14ac:dyDescent="0.25">
      <c r="A178" s="38">
        <v>1121</v>
      </c>
      <c r="B178" s="39" t="s">
        <v>185</v>
      </c>
      <c r="C178" s="45">
        <v>1061573966</v>
      </c>
      <c r="D178" s="19">
        <v>45809</v>
      </c>
      <c r="E178" s="19" t="s">
        <v>178</v>
      </c>
    </row>
    <row r="179" spans="1:5" ht="16.5" thickBot="1" x14ac:dyDescent="0.25">
      <c r="A179" s="38">
        <v>1122</v>
      </c>
      <c r="B179" s="39" t="s">
        <v>186</v>
      </c>
      <c r="C179" s="45" t="s">
        <v>277</v>
      </c>
      <c r="D179" s="19">
        <v>45809</v>
      </c>
      <c r="E179" s="19" t="s">
        <v>178</v>
      </c>
    </row>
    <row r="180" spans="1:5" ht="16.5" thickBot="1" x14ac:dyDescent="0.25">
      <c r="A180" s="38">
        <v>1126</v>
      </c>
      <c r="B180" s="39" t="s">
        <v>187</v>
      </c>
      <c r="C180" s="45" t="s">
        <v>299</v>
      </c>
      <c r="D180" s="19">
        <v>45809</v>
      </c>
      <c r="E180" s="19" t="s">
        <v>178</v>
      </c>
    </row>
    <row r="181" spans="1:5" ht="16.5" thickBot="1" x14ac:dyDescent="0.25">
      <c r="A181" s="38">
        <v>1127</v>
      </c>
      <c r="B181" s="39" t="s">
        <v>188</v>
      </c>
      <c r="C181" s="45">
        <v>1061573966</v>
      </c>
      <c r="D181" s="19">
        <v>45809</v>
      </c>
      <c r="E181" s="19" t="s">
        <v>178</v>
      </c>
    </row>
    <row r="182" spans="1:5" ht="16.5" thickBot="1" x14ac:dyDescent="0.25">
      <c r="A182" s="38">
        <v>1146</v>
      </c>
      <c r="B182" s="39" t="s">
        <v>189</v>
      </c>
      <c r="C182" s="45">
        <v>1095801434</v>
      </c>
      <c r="D182" s="19">
        <v>45809</v>
      </c>
      <c r="E182" s="19" t="s">
        <v>178</v>
      </c>
    </row>
    <row r="183" spans="1:5" ht="16.5" thickBot="1" x14ac:dyDescent="0.25">
      <c r="A183" s="38">
        <v>1153</v>
      </c>
      <c r="B183" s="39" t="s">
        <v>190</v>
      </c>
      <c r="C183" s="45">
        <v>1020036033</v>
      </c>
      <c r="D183" s="19">
        <v>45819</v>
      </c>
      <c r="E183" s="19" t="s">
        <v>178</v>
      </c>
    </row>
    <row r="184" spans="1:5" ht="16.5" thickBot="1" x14ac:dyDescent="0.25">
      <c r="A184" s="38">
        <v>1174</v>
      </c>
      <c r="B184" s="39" t="s">
        <v>191</v>
      </c>
      <c r="C184" s="45">
        <v>1286889730</v>
      </c>
      <c r="D184" s="19">
        <v>45839</v>
      </c>
      <c r="E184" s="19" t="s">
        <v>178</v>
      </c>
    </row>
    <row r="185" spans="1:5" ht="16.5" thickBot="1" x14ac:dyDescent="0.25">
      <c r="A185" s="38">
        <v>1175</v>
      </c>
      <c r="B185" s="39" t="s">
        <v>192</v>
      </c>
      <c r="C185" s="45">
        <v>1033990882</v>
      </c>
      <c r="D185" s="19">
        <v>45839</v>
      </c>
      <c r="E185" s="19" t="s">
        <v>178</v>
      </c>
    </row>
    <row r="186" spans="1:5" ht="16.5" thickBot="1" x14ac:dyDescent="0.25">
      <c r="A186" s="38">
        <v>1192</v>
      </c>
      <c r="B186" s="39" t="s">
        <v>193</v>
      </c>
      <c r="C186" s="45">
        <v>1023101219</v>
      </c>
      <c r="D186" s="19">
        <v>45860</v>
      </c>
      <c r="E186" s="19" t="s">
        <v>178</v>
      </c>
    </row>
    <row r="187" spans="1:5" ht="16.5" thickBot="1" x14ac:dyDescent="0.25">
      <c r="A187" s="38">
        <v>1199</v>
      </c>
      <c r="B187" s="39" t="s">
        <v>194</v>
      </c>
      <c r="C187" s="45">
        <v>1201401252</v>
      </c>
      <c r="D187" s="19">
        <v>45872</v>
      </c>
      <c r="E187" s="19" t="s">
        <v>178</v>
      </c>
    </row>
    <row r="188" spans="1:5" ht="16.5" thickBot="1" x14ac:dyDescent="0.25">
      <c r="A188" s="38">
        <v>1425</v>
      </c>
      <c r="B188" s="39" t="s">
        <v>195</v>
      </c>
      <c r="C188" s="45">
        <v>1019614447</v>
      </c>
      <c r="D188" s="19">
        <v>45970</v>
      </c>
      <c r="E188" s="19" t="s">
        <v>178</v>
      </c>
    </row>
    <row r="189" spans="1:5" ht="16.5" thickBot="1" x14ac:dyDescent="0.25">
      <c r="A189" s="26">
        <v>1155</v>
      </c>
      <c r="B189" s="36" t="s">
        <v>196</v>
      </c>
      <c r="C189" s="25">
        <v>1026816970</v>
      </c>
      <c r="D189" s="19">
        <v>45823</v>
      </c>
      <c r="E189" s="19" t="s">
        <v>197</v>
      </c>
    </row>
    <row r="190" spans="1:5" ht="16.5" thickBot="1" x14ac:dyDescent="0.25">
      <c r="A190" s="26">
        <v>1157</v>
      </c>
      <c r="B190" s="43" t="s">
        <v>198</v>
      </c>
      <c r="C190" s="25">
        <v>1019862780</v>
      </c>
      <c r="D190" s="19">
        <v>45823</v>
      </c>
      <c r="E190" s="19" t="s">
        <v>197</v>
      </c>
    </row>
    <row r="191" spans="1:5" ht="16.5" thickBot="1" x14ac:dyDescent="0.25">
      <c r="A191" s="35">
        <v>1156</v>
      </c>
      <c r="B191" s="43" t="s">
        <v>199</v>
      </c>
      <c r="C191" s="25">
        <v>1203775500</v>
      </c>
      <c r="D191" s="19">
        <v>45823</v>
      </c>
      <c r="E191" s="19" t="s">
        <v>197</v>
      </c>
    </row>
    <row r="192" spans="1:5" ht="16.5" thickBot="1" x14ac:dyDescent="0.25">
      <c r="A192" s="38">
        <v>1230</v>
      </c>
      <c r="B192" s="39" t="s">
        <v>200</v>
      </c>
      <c r="C192" s="25" t="s">
        <v>301</v>
      </c>
      <c r="D192" s="19">
        <v>45893</v>
      </c>
      <c r="E192" s="19" t="s">
        <v>197</v>
      </c>
    </row>
    <row r="193" spans="1:5" ht="16.5" thickBot="1" x14ac:dyDescent="0.25">
      <c r="A193" s="38">
        <v>1289</v>
      </c>
      <c r="B193" s="39" t="s">
        <v>201</v>
      </c>
      <c r="C193" s="42">
        <v>1068518876</v>
      </c>
      <c r="D193" s="19">
        <v>45923</v>
      </c>
      <c r="E193" s="19" t="s">
        <v>197</v>
      </c>
    </row>
    <row r="194" spans="1:5" ht="16.5" thickBot="1" x14ac:dyDescent="0.25">
      <c r="A194" s="38">
        <v>1274</v>
      </c>
      <c r="B194" s="39" t="s">
        <v>202</v>
      </c>
      <c r="C194" s="42">
        <v>1286636150</v>
      </c>
      <c r="D194" s="19">
        <v>45923</v>
      </c>
      <c r="E194" s="19" t="s">
        <v>197</v>
      </c>
    </row>
    <row r="195" spans="1:5" ht="16.5" thickBot="1" x14ac:dyDescent="0.25">
      <c r="A195" s="38">
        <v>1275</v>
      </c>
      <c r="B195" s="39" t="s">
        <v>203</v>
      </c>
      <c r="C195" s="42">
        <v>1201208567</v>
      </c>
      <c r="D195" s="19">
        <v>45923</v>
      </c>
      <c r="E195" s="19" t="s">
        <v>197</v>
      </c>
    </row>
    <row r="196" spans="1:5" ht="16.5" thickBot="1" x14ac:dyDescent="0.25">
      <c r="A196" s="38">
        <v>1327</v>
      </c>
      <c r="B196" s="39" t="s">
        <v>204</v>
      </c>
      <c r="C196" s="42">
        <v>1271617740</v>
      </c>
      <c r="D196" s="19">
        <v>45931</v>
      </c>
      <c r="E196" s="19" t="s">
        <v>197</v>
      </c>
    </row>
    <row r="197" spans="1:5" ht="16.5" thickBot="1" x14ac:dyDescent="0.25">
      <c r="A197" s="38">
        <v>1382</v>
      </c>
      <c r="B197" s="39" t="s">
        <v>205</v>
      </c>
      <c r="C197" s="42">
        <v>1093568107</v>
      </c>
      <c r="D197" s="19">
        <v>45963</v>
      </c>
      <c r="E197" s="19" t="s">
        <v>197</v>
      </c>
    </row>
    <row r="198" spans="1:5" ht="16.5" thickBot="1" x14ac:dyDescent="0.25">
      <c r="A198" s="38">
        <v>1416</v>
      </c>
      <c r="B198" s="39" t="s">
        <v>206</v>
      </c>
      <c r="C198" s="42">
        <v>1212337451</v>
      </c>
      <c r="D198" s="19">
        <v>45964</v>
      </c>
      <c r="E198" s="19" t="s">
        <v>197</v>
      </c>
    </row>
    <row r="199" spans="1:5" ht="16.5" thickBot="1" x14ac:dyDescent="0.25">
      <c r="A199" s="38">
        <v>1426</v>
      </c>
      <c r="B199" s="39" t="s">
        <v>273</v>
      </c>
      <c r="C199" s="42" t="s">
        <v>298</v>
      </c>
      <c r="D199" s="19">
        <v>45977</v>
      </c>
      <c r="E199" s="19" t="s">
        <v>197</v>
      </c>
    </row>
    <row r="200" spans="1:5" ht="16.5" thickBot="1" x14ac:dyDescent="0.25">
      <c r="A200" s="38">
        <v>1249</v>
      </c>
      <c r="B200" s="39" t="s">
        <v>208</v>
      </c>
      <c r="C200" s="25">
        <v>1207043968</v>
      </c>
      <c r="D200" s="19">
        <v>45901</v>
      </c>
      <c r="E200" s="35" t="s">
        <v>207</v>
      </c>
    </row>
    <row r="201" spans="1:5" ht="16.5" thickBot="1" x14ac:dyDescent="0.25">
      <c r="A201" s="38">
        <v>1250</v>
      </c>
      <c r="B201" s="39" t="s">
        <v>209</v>
      </c>
      <c r="C201" s="25">
        <v>1275772537</v>
      </c>
      <c r="D201" s="19">
        <v>45901</v>
      </c>
      <c r="E201" s="35" t="s">
        <v>207</v>
      </c>
    </row>
    <row r="202" spans="1:5" ht="16.5" thickBot="1" x14ac:dyDescent="0.25">
      <c r="A202" s="38">
        <v>1248</v>
      </c>
      <c r="B202" s="39" t="s">
        <v>210</v>
      </c>
      <c r="C202" s="25">
        <v>1100075267</v>
      </c>
      <c r="D202" s="19">
        <v>45901</v>
      </c>
      <c r="E202" s="35" t="s">
        <v>207</v>
      </c>
    </row>
    <row r="203" spans="1:5" ht="16.5" thickBot="1" x14ac:dyDescent="0.25">
      <c r="A203" s="46">
        <v>1253</v>
      </c>
      <c r="B203" s="39" t="s">
        <v>211</v>
      </c>
      <c r="C203" s="25">
        <v>1227584452</v>
      </c>
      <c r="D203" s="19">
        <v>45901</v>
      </c>
      <c r="E203" s="35" t="s">
        <v>207</v>
      </c>
    </row>
    <row r="204" spans="1:5" ht="16.5" thickBot="1" x14ac:dyDescent="0.25">
      <c r="A204" s="46">
        <v>1262</v>
      </c>
      <c r="B204" s="39" t="s">
        <v>212</v>
      </c>
      <c r="C204" s="25">
        <v>1225973210</v>
      </c>
      <c r="D204" s="19">
        <v>45915</v>
      </c>
      <c r="E204" s="35" t="s">
        <v>207</v>
      </c>
    </row>
    <row r="205" spans="1:5" ht="16.5" thickBot="1" x14ac:dyDescent="0.25">
      <c r="A205" s="46">
        <v>1266</v>
      </c>
      <c r="B205" s="39" t="s">
        <v>213</v>
      </c>
      <c r="C205" s="25">
        <v>1278900148</v>
      </c>
      <c r="D205" s="19">
        <v>45915</v>
      </c>
      <c r="E205" s="35" t="s">
        <v>207</v>
      </c>
    </row>
    <row r="206" spans="1:5" ht="16.5" thickBot="1" x14ac:dyDescent="0.25">
      <c r="A206" s="46">
        <v>1261</v>
      </c>
      <c r="B206" s="39" t="s">
        <v>214</v>
      </c>
      <c r="C206" s="25">
        <v>1224108160</v>
      </c>
      <c r="D206" s="19">
        <v>45915</v>
      </c>
      <c r="E206" s="35" t="s">
        <v>207</v>
      </c>
    </row>
    <row r="207" spans="1:5" ht="16.5" thickBot="1" x14ac:dyDescent="0.25">
      <c r="A207" s="46">
        <v>1308</v>
      </c>
      <c r="B207" s="39" t="s">
        <v>215</v>
      </c>
      <c r="C207" s="28">
        <v>1203723346</v>
      </c>
      <c r="D207" s="19">
        <v>45931</v>
      </c>
      <c r="E207" s="35" t="s">
        <v>207</v>
      </c>
    </row>
    <row r="208" spans="1:5" ht="16.5" thickBot="1" x14ac:dyDescent="0.25">
      <c r="A208" s="46">
        <v>1324</v>
      </c>
      <c r="B208" s="39" t="s">
        <v>216</v>
      </c>
      <c r="C208" s="28">
        <v>1023235415</v>
      </c>
      <c r="D208" s="19">
        <v>45931</v>
      </c>
      <c r="E208" s="35" t="s">
        <v>207</v>
      </c>
    </row>
    <row r="209" spans="1:5" ht="16.5" thickBot="1" x14ac:dyDescent="0.25">
      <c r="A209" s="46">
        <v>1307</v>
      </c>
      <c r="B209" s="39" t="s">
        <v>217</v>
      </c>
      <c r="C209" s="28">
        <v>1210839822</v>
      </c>
      <c r="D209" s="19">
        <v>45931</v>
      </c>
      <c r="E209" s="35" t="s">
        <v>207</v>
      </c>
    </row>
    <row r="210" spans="1:5" ht="16.5" thickBot="1" x14ac:dyDescent="0.25">
      <c r="A210" s="46">
        <v>1320</v>
      </c>
      <c r="B210" s="39" t="s">
        <v>218</v>
      </c>
      <c r="C210" s="28">
        <v>1284601715</v>
      </c>
      <c r="D210" s="19">
        <v>45931</v>
      </c>
      <c r="E210" s="35" t="s">
        <v>207</v>
      </c>
    </row>
    <row r="211" spans="1:5" ht="16.5" thickBot="1" x14ac:dyDescent="0.25">
      <c r="A211" s="46">
        <v>1309</v>
      </c>
      <c r="B211" s="39" t="s">
        <v>219</v>
      </c>
      <c r="C211" s="28">
        <v>1224206939</v>
      </c>
      <c r="D211" s="19">
        <v>45931</v>
      </c>
      <c r="E211" s="35" t="s">
        <v>207</v>
      </c>
    </row>
    <row r="212" spans="1:5" ht="16.5" thickBot="1" x14ac:dyDescent="0.25">
      <c r="A212" s="46">
        <v>1314</v>
      </c>
      <c r="B212" s="39" t="s">
        <v>220</v>
      </c>
      <c r="C212" s="28">
        <v>1090258587</v>
      </c>
      <c r="D212" s="19">
        <v>45931</v>
      </c>
      <c r="E212" s="35" t="s">
        <v>207</v>
      </c>
    </row>
    <row r="213" spans="1:5" ht="16.5" thickBot="1" x14ac:dyDescent="0.25">
      <c r="A213" s="46">
        <v>1312</v>
      </c>
      <c r="B213" s="39" t="s">
        <v>221</v>
      </c>
      <c r="C213" s="28">
        <v>1018476097</v>
      </c>
      <c r="D213" s="19">
        <v>45931</v>
      </c>
      <c r="E213" s="35" t="s">
        <v>207</v>
      </c>
    </row>
    <row r="214" spans="1:5" ht="16.5" thickBot="1" x14ac:dyDescent="0.25">
      <c r="A214" s="46">
        <v>1313</v>
      </c>
      <c r="B214" s="39" t="s">
        <v>222</v>
      </c>
      <c r="C214" s="28">
        <v>1114656410</v>
      </c>
      <c r="D214" s="19">
        <v>45931</v>
      </c>
      <c r="E214" s="35" t="s">
        <v>207</v>
      </c>
    </row>
    <row r="215" spans="1:5" ht="16.5" thickBot="1" x14ac:dyDescent="0.25">
      <c r="A215" s="46">
        <v>1318</v>
      </c>
      <c r="B215" s="39" t="s">
        <v>223</v>
      </c>
      <c r="C215" s="28">
        <v>1026635540</v>
      </c>
      <c r="D215" s="19">
        <v>45931</v>
      </c>
      <c r="E215" s="35" t="s">
        <v>207</v>
      </c>
    </row>
    <row r="216" spans="1:5" ht="16.5" thickBot="1" x14ac:dyDescent="0.25">
      <c r="A216" s="46">
        <v>1315</v>
      </c>
      <c r="B216" s="39" t="s">
        <v>224</v>
      </c>
      <c r="C216" s="28">
        <v>1061643265</v>
      </c>
      <c r="D216" s="19">
        <v>45931</v>
      </c>
      <c r="E216" s="35" t="s">
        <v>207</v>
      </c>
    </row>
    <row r="217" spans="1:5" ht="16.5" thickBot="1" x14ac:dyDescent="0.25">
      <c r="A217" s="46">
        <v>1321</v>
      </c>
      <c r="B217" s="39" t="s">
        <v>225</v>
      </c>
      <c r="C217" s="28">
        <v>1112253389</v>
      </c>
      <c r="D217" s="19">
        <v>45931</v>
      </c>
      <c r="E217" s="35" t="s">
        <v>207</v>
      </c>
    </row>
    <row r="218" spans="1:5" ht="16.5" thickBot="1" x14ac:dyDescent="0.25">
      <c r="A218" s="46">
        <v>1319</v>
      </c>
      <c r="B218" s="39" t="s">
        <v>226</v>
      </c>
      <c r="C218" s="28">
        <v>1066006174</v>
      </c>
      <c r="D218" s="19">
        <v>45931</v>
      </c>
      <c r="E218" s="35" t="s">
        <v>207</v>
      </c>
    </row>
    <row r="219" spans="1:5" ht="16.5" thickBot="1" x14ac:dyDescent="0.25">
      <c r="A219" s="46">
        <v>1322</v>
      </c>
      <c r="B219" s="39" t="s">
        <v>227</v>
      </c>
      <c r="C219" s="28">
        <v>1011712094</v>
      </c>
      <c r="D219" s="19">
        <v>45931</v>
      </c>
      <c r="E219" s="35" t="s">
        <v>207</v>
      </c>
    </row>
    <row r="220" spans="1:5" ht="16.5" thickBot="1" x14ac:dyDescent="0.25">
      <c r="A220" s="46">
        <v>1317</v>
      </c>
      <c r="B220" s="39" t="s">
        <v>228</v>
      </c>
      <c r="C220" s="28">
        <v>1064225413</v>
      </c>
      <c r="D220" s="19">
        <v>45931</v>
      </c>
      <c r="E220" s="35" t="s">
        <v>207</v>
      </c>
    </row>
    <row r="221" spans="1:5" ht="16.5" thickBot="1" x14ac:dyDescent="0.25">
      <c r="A221" s="46">
        <v>1323</v>
      </c>
      <c r="B221" s="39" t="s">
        <v>229</v>
      </c>
      <c r="C221" s="28">
        <v>1025875194</v>
      </c>
      <c r="D221" s="19">
        <v>45931</v>
      </c>
      <c r="E221" s="35" t="s">
        <v>207</v>
      </c>
    </row>
    <row r="222" spans="1:5" ht="16.5" thickBot="1" x14ac:dyDescent="0.25">
      <c r="A222" s="46">
        <v>1326</v>
      </c>
      <c r="B222" s="39" t="s">
        <v>230</v>
      </c>
      <c r="C222" s="28">
        <v>1011558046</v>
      </c>
      <c r="D222" s="19">
        <v>45931</v>
      </c>
      <c r="E222" s="35" t="s">
        <v>207</v>
      </c>
    </row>
    <row r="223" spans="1:5" ht="16.5" thickBot="1" x14ac:dyDescent="0.25">
      <c r="A223" s="46">
        <v>1316</v>
      </c>
      <c r="B223" s="39" t="s">
        <v>231</v>
      </c>
      <c r="C223" s="28">
        <v>1096868155</v>
      </c>
      <c r="D223" s="19">
        <v>45931</v>
      </c>
      <c r="E223" s="35" t="s">
        <v>207</v>
      </c>
    </row>
    <row r="224" spans="1:5" ht="16.5" thickBot="1" x14ac:dyDescent="0.25">
      <c r="A224" s="46">
        <v>1325</v>
      </c>
      <c r="B224" s="39" t="s">
        <v>232</v>
      </c>
      <c r="C224" s="28">
        <v>1152056337</v>
      </c>
      <c r="D224" s="19">
        <v>45931</v>
      </c>
      <c r="E224" s="35" t="s">
        <v>207</v>
      </c>
    </row>
    <row r="225" spans="1:5" ht="16.5" thickBot="1" x14ac:dyDescent="0.25">
      <c r="A225" s="46">
        <v>1311</v>
      </c>
      <c r="B225" s="39" t="s">
        <v>233</v>
      </c>
      <c r="C225" s="28">
        <v>1024464398</v>
      </c>
      <c r="D225" s="19">
        <v>45931</v>
      </c>
      <c r="E225" s="35" t="s">
        <v>207</v>
      </c>
    </row>
    <row r="226" spans="1:5" ht="16.5" thickBot="1" x14ac:dyDescent="0.25">
      <c r="A226" s="46">
        <v>1310</v>
      </c>
      <c r="B226" s="39" t="s">
        <v>234</v>
      </c>
      <c r="C226" s="28">
        <v>1278490834</v>
      </c>
      <c r="D226" s="19">
        <v>45931</v>
      </c>
      <c r="E226" s="35" t="s">
        <v>207</v>
      </c>
    </row>
    <row r="227" spans="1:5" ht="16.5" thickBot="1" x14ac:dyDescent="0.25">
      <c r="A227" s="46">
        <v>1335</v>
      </c>
      <c r="B227" s="39" t="s">
        <v>235</v>
      </c>
      <c r="C227" s="28">
        <v>1099193646</v>
      </c>
      <c r="D227" s="19">
        <v>45935</v>
      </c>
      <c r="E227" s="35" t="s">
        <v>207</v>
      </c>
    </row>
    <row r="228" spans="1:5" ht="16.5" thickBot="1" x14ac:dyDescent="0.25">
      <c r="A228" s="46">
        <v>1339</v>
      </c>
      <c r="B228" s="39" t="s">
        <v>236</v>
      </c>
      <c r="C228" s="28">
        <v>1065229563</v>
      </c>
      <c r="D228" s="19">
        <v>45945</v>
      </c>
      <c r="E228" s="35" t="s">
        <v>207</v>
      </c>
    </row>
    <row r="229" spans="1:5" ht="16.5" thickBot="1" x14ac:dyDescent="0.25">
      <c r="A229" s="46">
        <v>1342</v>
      </c>
      <c r="B229" s="39" t="s">
        <v>237</v>
      </c>
      <c r="C229" s="28">
        <v>1022813183</v>
      </c>
      <c r="D229" s="19">
        <v>45945</v>
      </c>
      <c r="E229" s="35" t="s">
        <v>207</v>
      </c>
    </row>
    <row r="230" spans="1:5" ht="16.5" thickBot="1" x14ac:dyDescent="0.25">
      <c r="A230" s="46">
        <v>1343</v>
      </c>
      <c r="B230" s="39" t="s">
        <v>238</v>
      </c>
      <c r="C230" s="28">
        <v>1026323783</v>
      </c>
      <c r="D230" s="19">
        <v>45945</v>
      </c>
      <c r="E230" s="35" t="s">
        <v>207</v>
      </c>
    </row>
    <row r="231" spans="1:5" ht="16.5" thickBot="1" x14ac:dyDescent="0.25">
      <c r="A231" s="46">
        <v>1344</v>
      </c>
      <c r="B231" s="39" t="s">
        <v>239</v>
      </c>
      <c r="C231" s="28">
        <v>1147401011</v>
      </c>
      <c r="D231" s="19">
        <v>45945</v>
      </c>
      <c r="E231" s="35" t="s">
        <v>207</v>
      </c>
    </row>
    <row r="232" spans="1:5" ht="16.5" thickBot="1" x14ac:dyDescent="0.25">
      <c r="A232" s="46">
        <v>1345</v>
      </c>
      <c r="B232" s="39" t="s">
        <v>240</v>
      </c>
      <c r="C232" s="28">
        <v>1091934021</v>
      </c>
      <c r="D232" s="19">
        <v>45945</v>
      </c>
      <c r="E232" s="35" t="s">
        <v>207</v>
      </c>
    </row>
    <row r="233" spans="1:5" ht="16.5" thickBot="1" x14ac:dyDescent="0.25">
      <c r="A233" s="46">
        <v>1346</v>
      </c>
      <c r="B233" s="39" t="s">
        <v>241</v>
      </c>
      <c r="C233" s="28">
        <v>1066143643</v>
      </c>
      <c r="D233" s="19">
        <v>45945</v>
      </c>
      <c r="E233" s="35" t="s">
        <v>207</v>
      </c>
    </row>
    <row r="234" spans="1:5" ht="16.5" thickBot="1" x14ac:dyDescent="0.25">
      <c r="A234" s="46">
        <v>1350</v>
      </c>
      <c r="B234" s="39" t="s">
        <v>242</v>
      </c>
      <c r="C234" s="28">
        <v>1060251980</v>
      </c>
      <c r="D234" s="19">
        <v>45945</v>
      </c>
      <c r="E234" s="35" t="s">
        <v>207</v>
      </c>
    </row>
    <row r="235" spans="1:5" ht="16.5" thickBot="1" x14ac:dyDescent="0.25">
      <c r="A235" s="46">
        <v>1351</v>
      </c>
      <c r="B235" s="39" t="s">
        <v>243</v>
      </c>
      <c r="C235" s="28">
        <v>1060571674</v>
      </c>
      <c r="D235" s="19">
        <v>45945</v>
      </c>
      <c r="E235" s="35" t="s">
        <v>207</v>
      </c>
    </row>
    <row r="236" spans="1:5" ht="16.5" thickBot="1" x14ac:dyDescent="0.25">
      <c r="A236" s="46">
        <v>1352</v>
      </c>
      <c r="B236" s="39" t="s">
        <v>244</v>
      </c>
      <c r="C236" s="28">
        <v>1098459888</v>
      </c>
      <c r="D236" s="19">
        <v>45945</v>
      </c>
      <c r="E236" s="35" t="s">
        <v>207</v>
      </c>
    </row>
    <row r="237" spans="1:5" ht="16.5" thickBot="1" x14ac:dyDescent="0.25">
      <c r="A237" s="46">
        <v>1353</v>
      </c>
      <c r="B237" s="39" t="s">
        <v>245</v>
      </c>
      <c r="C237" s="28">
        <v>1063260606</v>
      </c>
      <c r="D237" s="19">
        <v>45945</v>
      </c>
      <c r="E237" s="35" t="s">
        <v>207</v>
      </c>
    </row>
    <row r="238" spans="1:5" ht="16.5" thickBot="1" x14ac:dyDescent="0.25">
      <c r="A238" s="46">
        <v>1354</v>
      </c>
      <c r="B238" s="39" t="s">
        <v>246</v>
      </c>
      <c r="C238" s="28">
        <v>1098810443</v>
      </c>
      <c r="D238" s="19">
        <v>45945</v>
      </c>
      <c r="E238" s="35" t="s">
        <v>207</v>
      </c>
    </row>
    <row r="239" spans="1:5" ht="16.5" thickBot="1" x14ac:dyDescent="0.25">
      <c r="A239" s="46">
        <v>1355</v>
      </c>
      <c r="B239" s="39" t="s">
        <v>247</v>
      </c>
      <c r="C239" s="28">
        <v>1092757292</v>
      </c>
      <c r="D239" s="19">
        <v>45945</v>
      </c>
      <c r="E239" s="35" t="s">
        <v>207</v>
      </c>
    </row>
    <row r="240" spans="1:5" ht="16.5" thickBot="1" x14ac:dyDescent="0.25">
      <c r="A240" s="46">
        <v>1357</v>
      </c>
      <c r="B240" s="39" t="s">
        <v>248</v>
      </c>
      <c r="C240" s="28">
        <v>1284054271</v>
      </c>
      <c r="D240" s="19">
        <v>45945</v>
      </c>
      <c r="E240" s="35" t="s">
        <v>207</v>
      </c>
    </row>
    <row r="241" spans="1:5" ht="16.5" thickBot="1" x14ac:dyDescent="0.25">
      <c r="A241" s="46">
        <v>1361</v>
      </c>
      <c r="B241" s="39" t="s">
        <v>249</v>
      </c>
      <c r="C241" s="28">
        <v>1229431936</v>
      </c>
      <c r="D241" s="19">
        <v>45945</v>
      </c>
      <c r="E241" s="35" t="s">
        <v>207</v>
      </c>
    </row>
    <row r="242" spans="1:5" ht="16.5" thickBot="1" x14ac:dyDescent="0.25">
      <c r="A242" s="46">
        <v>1362</v>
      </c>
      <c r="B242" s="39" t="s">
        <v>250</v>
      </c>
      <c r="C242" s="28">
        <v>1157351685</v>
      </c>
      <c r="D242" s="19">
        <v>45945</v>
      </c>
      <c r="E242" s="35" t="s">
        <v>207</v>
      </c>
    </row>
    <row r="243" spans="1:5" ht="16.5" thickBot="1" x14ac:dyDescent="0.25">
      <c r="A243" s="46">
        <v>1363</v>
      </c>
      <c r="B243" s="39" t="s">
        <v>251</v>
      </c>
      <c r="C243" s="28">
        <v>1093390899</v>
      </c>
      <c r="D243" s="19">
        <v>45945</v>
      </c>
      <c r="E243" s="35" t="s">
        <v>207</v>
      </c>
    </row>
    <row r="244" spans="1:5" ht="16.5" thickBot="1" x14ac:dyDescent="0.25">
      <c r="A244" s="46">
        <v>1366</v>
      </c>
      <c r="B244" s="39" t="s">
        <v>252</v>
      </c>
      <c r="C244" s="28">
        <v>1281763800</v>
      </c>
      <c r="D244" s="19">
        <v>45945</v>
      </c>
      <c r="E244" s="35" t="s">
        <v>207</v>
      </c>
    </row>
    <row r="245" spans="1:5" ht="16.5" thickBot="1" x14ac:dyDescent="0.25">
      <c r="A245" s="46">
        <v>1367</v>
      </c>
      <c r="B245" s="39" t="s">
        <v>253</v>
      </c>
      <c r="C245" s="28" t="s">
        <v>289</v>
      </c>
      <c r="D245" s="19">
        <v>45945</v>
      </c>
      <c r="E245" s="35" t="s">
        <v>207</v>
      </c>
    </row>
    <row r="246" spans="1:5" ht="16.5" thickBot="1" x14ac:dyDescent="0.25">
      <c r="A246" s="46">
        <v>1368</v>
      </c>
      <c r="B246" s="39" t="s">
        <v>254</v>
      </c>
      <c r="C246" s="28">
        <v>1201342102</v>
      </c>
      <c r="D246" s="19">
        <v>45945</v>
      </c>
      <c r="E246" s="35" t="s">
        <v>207</v>
      </c>
    </row>
    <row r="247" spans="1:5" ht="16.5" thickBot="1" x14ac:dyDescent="0.25">
      <c r="A247" s="46">
        <v>1371</v>
      </c>
      <c r="B247" s="39" t="s">
        <v>255</v>
      </c>
      <c r="C247" s="28">
        <v>1004884250</v>
      </c>
      <c r="D247" s="19">
        <v>45945</v>
      </c>
      <c r="E247" s="35" t="s">
        <v>207</v>
      </c>
    </row>
    <row r="248" spans="1:5" ht="16.5" thickBot="1" x14ac:dyDescent="0.25">
      <c r="A248" s="46">
        <v>1390</v>
      </c>
      <c r="B248" s="39" t="s">
        <v>256</v>
      </c>
      <c r="C248" s="28">
        <v>1117098889</v>
      </c>
      <c r="D248" s="19">
        <v>45963</v>
      </c>
      <c r="E248" s="35" t="s">
        <v>207</v>
      </c>
    </row>
    <row r="249" spans="1:5" ht="16.5" thickBot="1" x14ac:dyDescent="0.25">
      <c r="A249" s="46">
        <v>1391</v>
      </c>
      <c r="B249" s="39" t="s">
        <v>257</v>
      </c>
      <c r="C249" s="28">
        <v>1018487781</v>
      </c>
      <c r="D249" s="19">
        <v>45963</v>
      </c>
      <c r="E249" s="35" t="s">
        <v>207</v>
      </c>
    </row>
    <row r="250" spans="1:5" ht="16.5" thickBot="1" x14ac:dyDescent="0.25">
      <c r="A250" s="46">
        <v>1392</v>
      </c>
      <c r="B250" s="39" t="s">
        <v>258</v>
      </c>
      <c r="C250" s="28">
        <v>1021247876</v>
      </c>
      <c r="D250" s="19">
        <v>45963</v>
      </c>
      <c r="E250" s="35" t="s">
        <v>207</v>
      </c>
    </row>
    <row r="251" spans="1:5" ht="16.5" thickBot="1" x14ac:dyDescent="0.25">
      <c r="A251" s="46">
        <v>1394</v>
      </c>
      <c r="B251" s="39" t="s">
        <v>259</v>
      </c>
      <c r="C251" s="28">
        <v>1014187978</v>
      </c>
      <c r="D251" s="19">
        <v>45963</v>
      </c>
      <c r="E251" s="35" t="s">
        <v>207</v>
      </c>
    </row>
    <row r="252" spans="1:5" ht="16.5" thickBot="1" x14ac:dyDescent="0.25">
      <c r="A252" s="46">
        <v>1418</v>
      </c>
      <c r="B252" s="39" t="s">
        <v>260</v>
      </c>
      <c r="C252" s="28">
        <v>1093730862</v>
      </c>
      <c r="D252" s="19">
        <v>45970</v>
      </c>
      <c r="E252" s="35" t="s">
        <v>207</v>
      </c>
    </row>
    <row r="253" spans="1:5" ht="16.5" thickBot="1" x14ac:dyDescent="0.25">
      <c r="A253" s="46">
        <v>1420</v>
      </c>
      <c r="B253" s="39" t="s">
        <v>261</v>
      </c>
      <c r="C253" s="28">
        <v>1207292405</v>
      </c>
      <c r="D253" s="19">
        <v>45970</v>
      </c>
      <c r="E253" s="35" t="s">
        <v>207</v>
      </c>
    </row>
    <row r="254" spans="1:5" ht="16.5" thickBot="1" x14ac:dyDescent="0.25">
      <c r="A254" s="46">
        <v>1421</v>
      </c>
      <c r="B254" s="39" t="s">
        <v>262</v>
      </c>
      <c r="C254" s="28">
        <v>1122710236</v>
      </c>
      <c r="D254" s="19">
        <v>45970</v>
      </c>
      <c r="E254" s="35" t="s">
        <v>207</v>
      </c>
    </row>
    <row r="255" spans="1:5" ht="16.5" thickBot="1" x14ac:dyDescent="0.25">
      <c r="A255" s="46">
        <v>1422</v>
      </c>
      <c r="B255" s="39" t="s">
        <v>263</v>
      </c>
      <c r="C255" s="28">
        <v>1225652948</v>
      </c>
      <c r="D255" s="19">
        <v>45970</v>
      </c>
      <c r="E255" s="35" t="s">
        <v>207</v>
      </c>
    </row>
    <row r="256" spans="1:5" ht="16.5" thickBot="1" x14ac:dyDescent="0.25">
      <c r="A256" s="46">
        <v>1449</v>
      </c>
      <c r="B256" s="39" t="s">
        <v>286</v>
      </c>
      <c r="C256" s="48">
        <v>1096968911</v>
      </c>
      <c r="D256" s="19">
        <v>46005</v>
      </c>
      <c r="E256" s="35" t="s">
        <v>207</v>
      </c>
    </row>
    <row r="257" spans="1:5" ht="16.5" thickBot="1" x14ac:dyDescent="0.25">
      <c r="A257" s="46">
        <v>1447</v>
      </c>
      <c r="B257" s="39" t="s">
        <v>287</v>
      </c>
      <c r="C257" s="48">
        <v>1017391617</v>
      </c>
      <c r="D257" s="19">
        <v>46005</v>
      </c>
      <c r="E257" s="35" t="s">
        <v>207</v>
      </c>
    </row>
    <row r="258" spans="1:5" ht="16.5" thickBot="1" x14ac:dyDescent="0.25">
      <c r="A258" s="26">
        <v>1080</v>
      </c>
      <c r="B258" s="27" t="s">
        <v>265</v>
      </c>
      <c r="C258" s="28">
        <v>1211907813</v>
      </c>
      <c r="D258" s="19">
        <v>45721</v>
      </c>
      <c r="E258" s="19" t="s">
        <v>264</v>
      </c>
    </row>
    <row r="259" spans="1:5" ht="16.5" thickBot="1" x14ac:dyDescent="0.25">
      <c r="A259" s="26">
        <v>1089</v>
      </c>
      <c r="B259" s="27" t="s">
        <v>266</v>
      </c>
      <c r="C259" s="28">
        <v>1091466915</v>
      </c>
      <c r="D259" s="19">
        <v>45753</v>
      </c>
      <c r="E259" s="19" t="s">
        <v>264</v>
      </c>
    </row>
    <row r="260" spans="1:5" ht="16.5" thickBot="1" x14ac:dyDescent="0.25">
      <c r="A260" s="26">
        <v>1376</v>
      </c>
      <c r="B260" s="27" t="s">
        <v>267</v>
      </c>
      <c r="C260" s="48">
        <v>1505087841</v>
      </c>
      <c r="D260" s="19">
        <v>45963</v>
      </c>
      <c r="E260" s="19" t="s">
        <v>264</v>
      </c>
    </row>
    <row r="261" spans="1:5" ht="16.5" thickBot="1" x14ac:dyDescent="0.25">
      <c r="A261" s="26">
        <v>1430</v>
      </c>
      <c r="B261" s="27" t="s">
        <v>276</v>
      </c>
      <c r="C261" s="28">
        <v>1221236132</v>
      </c>
      <c r="D261" s="19">
        <v>45992</v>
      </c>
      <c r="E261" s="19" t="s">
        <v>264</v>
      </c>
    </row>
    <row r="262" spans="1:5" ht="16.5" thickBot="1" x14ac:dyDescent="0.25">
      <c r="A262" s="26">
        <v>1467</v>
      </c>
      <c r="B262" s="27" t="s">
        <v>306</v>
      </c>
      <c r="C262" s="28">
        <v>1060908782</v>
      </c>
      <c r="D262" s="19">
        <v>46096</v>
      </c>
      <c r="E262" s="19" t="s">
        <v>207</v>
      </c>
    </row>
    <row r="263" spans="1:5" ht="16.5" thickBot="1" x14ac:dyDescent="0.25">
      <c r="A263" s="26">
        <v>1468</v>
      </c>
      <c r="B263" s="27" t="s">
        <v>307</v>
      </c>
      <c r="C263" s="28">
        <v>1019718363</v>
      </c>
      <c r="D263" s="19">
        <v>46096</v>
      </c>
      <c r="E263" s="19" t="s">
        <v>207</v>
      </c>
    </row>
    <row r="264" spans="1:5" ht="16.5" thickBot="1" x14ac:dyDescent="0.25">
      <c r="A264" s="26">
        <v>1469</v>
      </c>
      <c r="B264" s="27" t="s">
        <v>308</v>
      </c>
      <c r="C264" s="28">
        <v>1099299774</v>
      </c>
      <c r="D264" s="19">
        <v>46096</v>
      </c>
      <c r="E264" s="19" t="s">
        <v>207</v>
      </c>
    </row>
    <row r="265" spans="1:5" ht="16.5" thickBot="1" x14ac:dyDescent="0.25">
      <c r="A265" s="26">
        <v>1470</v>
      </c>
      <c r="B265" s="27" t="s">
        <v>309</v>
      </c>
      <c r="C265" s="28">
        <v>1007004201</v>
      </c>
      <c r="D265" s="19">
        <v>46096</v>
      </c>
      <c r="E265" s="19" t="s">
        <v>207</v>
      </c>
    </row>
    <row r="266" spans="1:5" ht="16.5" thickBot="1" x14ac:dyDescent="0.25">
      <c r="A266" s="26">
        <v>1471</v>
      </c>
      <c r="B266" s="27" t="s">
        <v>310</v>
      </c>
      <c r="C266" s="28">
        <v>1012341705</v>
      </c>
      <c r="D266" s="19">
        <v>46096</v>
      </c>
      <c r="E266" s="19" t="s">
        <v>207</v>
      </c>
    </row>
    <row r="267" spans="1:5" ht="16.5" thickBot="1" x14ac:dyDescent="0.25">
      <c r="A267" s="26">
        <v>1472</v>
      </c>
      <c r="B267" s="27" t="s">
        <v>311</v>
      </c>
      <c r="C267" s="28">
        <v>1023414549</v>
      </c>
      <c r="D267" s="19">
        <v>46096</v>
      </c>
      <c r="E267" s="19" t="s">
        <v>207</v>
      </c>
    </row>
    <row r="268" spans="1:5" ht="16.5" thickBot="1" x14ac:dyDescent="0.25">
      <c r="A268" s="26">
        <v>1473</v>
      </c>
      <c r="B268" s="27" t="s">
        <v>312</v>
      </c>
      <c r="C268" s="28">
        <v>1067764612</v>
      </c>
      <c r="D268" s="19">
        <v>46096</v>
      </c>
      <c r="E268" s="19" t="s">
        <v>207</v>
      </c>
    </row>
    <row r="269" spans="1:5" ht="16.5" thickBot="1" x14ac:dyDescent="0.25">
      <c r="A269" s="26">
        <v>1474</v>
      </c>
      <c r="B269" s="27" t="s">
        <v>313</v>
      </c>
      <c r="C269" s="28">
        <v>1017836967</v>
      </c>
      <c r="D269" s="19">
        <v>46096</v>
      </c>
      <c r="E269" s="19" t="s">
        <v>207</v>
      </c>
    </row>
    <row r="270" spans="1:5" ht="16.5" thickBot="1" x14ac:dyDescent="0.25">
      <c r="A270" s="26">
        <v>1475</v>
      </c>
      <c r="B270" s="27" t="s">
        <v>314</v>
      </c>
      <c r="C270" s="28">
        <v>1003296345</v>
      </c>
      <c r="D270" s="19">
        <v>46096</v>
      </c>
      <c r="E270" s="19" t="s">
        <v>207</v>
      </c>
    </row>
    <row r="271" spans="1:5" ht="16.5" thickBot="1" x14ac:dyDescent="0.25">
      <c r="A271" s="26">
        <v>1476</v>
      </c>
      <c r="B271" s="27" t="s">
        <v>315</v>
      </c>
      <c r="C271" s="28">
        <v>1024232351</v>
      </c>
      <c r="D271" s="19">
        <v>46096</v>
      </c>
      <c r="E271" s="19" t="s">
        <v>207</v>
      </c>
    </row>
    <row r="272" spans="1:5" ht="16.5" thickBot="1" x14ac:dyDescent="0.25">
      <c r="A272" s="26">
        <v>1477</v>
      </c>
      <c r="B272" s="27" t="s">
        <v>316</v>
      </c>
      <c r="C272" s="28">
        <v>1026246500</v>
      </c>
      <c r="D272" s="19">
        <v>46096</v>
      </c>
      <c r="E272" s="19" t="s">
        <v>207</v>
      </c>
    </row>
    <row r="273" spans="1:5" ht="16.5" thickBot="1" x14ac:dyDescent="0.25">
      <c r="A273" s="26">
        <v>1479</v>
      </c>
      <c r="B273" s="27" t="s">
        <v>317</v>
      </c>
      <c r="C273" s="28">
        <v>1064764040</v>
      </c>
      <c r="D273" s="19">
        <v>46096</v>
      </c>
      <c r="E273" s="19" t="s">
        <v>207</v>
      </c>
    </row>
    <row r="274" spans="1:5" ht="16.5" thickBot="1" x14ac:dyDescent="0.25">
      <c r="A274" s="26">
        <v>1480</v>
      </c>
      <c r="B274" s="27" t="s">
        <v>318</v>
      </c>
      <c r="C274" s="28">
        <v>1068176036</v>
      </c>
      <c r="D274" s="19">
        <v>46096</v>
      </c>
      <c r="E274" s="19" t="s">
        <v>207</v>
      </c>
    </row>
    <row r="275" spans="1:5" ht="16.5" thickBot="1" x14ac:dyDescent="0.25">
      <c r="A275" s="26">
        <v>1481</v>
      </c>
      <c r="B275" s="27" t="s">
        <v>319</v>
      </c>
      <c r="C275" s="28">
        <v>1008052536</v>
      </c>
      <c r="D275" s="19">
        <v>46096</v>
      </c>
      <c r="E275" s="19" t="s">
        <v>207</v>
      </c>
    </row>
    <row r="276" spans="1:5" ht="16.5" thickBot="1" x14ac:dyDescent="0.25">
      <c r="A276" s="26">
        <v>1482</v>
      </c>
      <c r="B276" s="27" t="s">
        <v>320</v>
      </c>
      <c r="C276" s="28">
        <v>1091155534</v>
      </c>
      <c r="D276" s="19">
        <v>46096</v>
      </c>
      <c r="E276" s="19" t="s">
        <v>207</v>
      </c>
    </row>
    <row r="277" spans="1:5" ht="16.5" thickBot="1" x14ac:dyDescent="0.25">
      <c r="A277" s="26">
        <v>1483</v>
      </c>
      <c r="B277" s="27" t="s">
        <v>321</v>
      </c>
      <c r="C277" s="28">
        <v>1016511290</v>
      </c>
      <c r="D277" s="19">
        <v>46096</v>
      </c>
      <c r="E277" s="19" t="s">
        <v>207</v>
      </c>
    </row>
    <row r="278" spans="1:5" ht="16.5" thickBot="1" x14ac:dyDescent="0.25">
      <c r="A278" s="26">
        <v>1484</v>
      </c>
      <c r="B278" s="27" t="s">
        <v>369</v>
      </c>
      <c r="C278" s="28">
        <v>1554278737</v>
      </c>
      <c r="D278" s="19">
        <v>46096</v>
      </c>
      <c r="E278" s="19" t="s">
        <v>207</v>
      </c>
    </row>
    <row r="279" spans="1:5" ht="16.5" thickBot="1" x14ac:dyDescent="0.25">
      <c r="A279" s="26">
        <v>1485</v>
      </c>
      <c r="B279" s="27" t="s">
        <v>322</v>
      </c>
      <c r="C279" s="28">
        <v>1023078693</v>
      </c>
      <c r="D279" s="19">
        <v>46096</v>
      </c>
      <c r="E279" s="19" t="s">
        <v>207</v>
      </c>
    </row>
    <row r="280" spans="1:5" ht="16.5" thickBot="1" x14ac:dyDescent="0.25">
      <c r="A280" s="26">
        <v>1486</v>
      </c>
      <c r="B280" s="27" t="s">
        <v>323</v>
      </c>
      <c r="C280" s="28">
        <v>1069898991</v>
      </c>
      <c r="D280" s="19">
        <v>46096</v>
      </c>
      <c r="E280" s="19" t="s">
        <v>207</v>
      </c>
    </row>
    <row r="281" spans="1:5" ht="16.5" thickBot="1" x14ac:dyDescent="0.25">
      <c r="A281" s="26">
        <v>1487</v>
      </c>
      <c r="B281" s="27" t="s">
        <v>324</v>
      </c>
      <c r="C281" s="28">
        <v>1011293556</v>
      </c>
      <c r="D281" s="19">
        <v>46096</v>
      </c>
      <c r="E281" s="19" t="s">
        <v>207</v>
      </c>
    </row>
    <row r="282" spans="1:5" ht="16.5" thickBot="1" x14ac:dyDescent="0.25">
      <c r="A282" s="26">
        <v>1488</v>
      </c>
      <c r="B282" s="27" t="s">
        <v>325</v>
      </c>
      <c r="C282" s="28">
        <v>1020972749</v>
      </c>
      <c r="D282" s="19">
        <v>46096</v>
      </c>
      <c r="E282" s="19" t="s">
        <v>207</v>
      </c>
    </row>
    <row r="283" spans="1:5" ht="16.5" thickBot="1" x14ac:dyDescent="0.25">
      <c r="A283" s="26">
        <v>1489</v>
      </c>
      <c r="B283" s="27" t="s">
        <v>326</v>
      </c>
      <c r="C283" s="28">
        <v>1204989778</v>
      </c>
      <c r="D283" s="19">
        <v>46096</v>
      </c>
      <c r="E283" s="19" t="s">
        <v>207</v>
      </c>
    </row>
    <row r="284" spans="1:5" ht="16.5" thickBot="1" x14ac:dyDescent="0.25">
      <c r="A284" s="26">
        <v>1506</v>
      </c>
      <c r="B284" s="27" t="s">
        <v>339</v>
      </c>
      <c r="C284" s="28">
        <v>1288492246</v>
      </c>
      <c r="D284" s="19">
        <v>46096</v>
      </c>
      <c r="E284" s="19" t="s">
        <v>207</v>
      </c>
    </row>
    <row r="285" spans="1:5" ht="16.5" thickBot="1" x14ac:dyDescent="0.25">
      <c r="A285" s="26">
        <v>1509</v>
      </c>
      <c r="B285" s="27" t="s">
        <v>342</v>
      </c>
      <c r="C285" s="28">
        <v>1066134566</v>
      </c>
      <c r="D285" s="19">
        <v>46096</v>
      </c>
      <c r="E285" s="19" t="s">
        <v>207</v>
      </c>
    </row>
    <row r="286" spans="1:5" ht="16.5" thickBot="1" x14ac:dyDescent="0.25">
      <c r="A286" s="26">
        <v>1490</v>
      </c>
      <c r="B286" s="27" t="s">
        <v>327</v>
      </c>
      <c r="C286" s="28">
        <v>1008468221</v>
      </c>
      <c r="D286" s="19">
        <v>46096</v>
      </c>
      <c r="E286" s="19" t="s">
        <v>51</v>
      </c>
    </row>
    <row r="287" spans="1:5" ht="16.5" thickBot="1" x14ac:dyDescent="0.25">
      <c r="A287" s="26">
        <v>1491</v>
      </c>
      <c r="B287" s="27" t="s">
        <v>328</v>
      </c>
      <c r="C287" s="28">
        <v>1003676068</v>
      </c>
      <c r="D287" s="19">
        <v>46096</v>
      </c>
      <c r="E287" s="19" t="s">
        <v>51</v>
      </c>
    </row>
    <row r="288" spans="1:5" ht="16.5" thickBot="1" x14ac:dyDescent="0.25">
      <c r="A288" s="26">
        <v>1492</v>
      </c>
      <c r="B288" s="27" t="s">
        <v>329</v>
      </c>
      <c r="C288" s="28">
        <v>1016662732</v>
      </c>
      <c r="D288" s="19">
        <v>46096</v>
      </c>
      <c r="E288" s="19" t="s">
        <v>51</v>
      </c>
    </row>
    <row r="289" spans="1:5" ht="16.5" thickBot="1" x14ac:dyDescent="0.25">
      <c r="A289" s="26">
        <v>1493</v>
      </c>
      <c r="B289" s="27" t="s">
        <v>330</v>
      </c>
      <c r="C289" s="28">
        <v>1069659369</v>
      </c>
      <c r="D289" s="19">
        <v>46096</v>
      </c>
      <c r="E289" s="19" t="s">
        <v>51</v>
      </c>
    </row>
    <row r="290" spans="1:5" ht="16.5" thickBot="1" x14ac:dyDescent="0.25">
      <c r="A290" s="26">
        <v>1496</v>
      </c>
      <c r="B290" s="27" t="s">
        <v>331</v>
      </c>
      <c r="C290" s="28">
        <v>1211874041</v>
      </c>
      <c r="D290" s="19">
        <v>46096</v>
      </c>
      <c r="E290" s="19" t="s">
        <v>85</v>
      </c>
    </row>
    <row r="291" spans="1:5" ht="16.5" thickBot="1" x14ac:dyDescent="0.25">
      <c r="A291" s="26">
        <v>1497</v>
      </c>
      <c r="B291" s="27" t="s">
        <v>332</v>
      </c>
      <c r="C291" s="28">
        <v>1206816958</v>
      </c>
      <c r="D291" s="19">
        <v>46096</v>
      </c>
      <c r="E291" s="19" t="s">
        <v>85</v>
      </c>
    </row>
    <row r="292" spans="1:5" ht="16.5" thickBot="1" x14ac:dyDescent="0.25">
      <c r="A292" s="26">
        <v>1498</v>
      </c>
      <c r="B292" s="27" t="s">
        <v>333</v>
      </c>
      <c r="C292" s="28">
        <v>1001855432</v>
      </c>
      <c r="D292" s="19">
        <v>46096</v>
      </c>
      <c r="E292" s="19" t="s">
        <v>85</v>
      </c>
    </row>
    <row r="293" spans="1:5" ht="16.5" thickBot="1" x14ac:dyDescent="0.25">
      <c r="A293" s="26">
        <v>1499</v>
      </c>
      <c r="B293" s="27" t="s">
        <v>334</v>
      </c>
      <c r="C293" s="28">
        <v>1020007251</v>
      </c>
      <c r="D293" s="19">
        <v>46096</v>
      </c>
      <c r="E293" s="19" t="s">
        <v>85</v>
      </c>
    </row>
    <row r="294" spans="1:5" ht="16.5" thickBot="1" x14ac:dyDescent="0.25">
      <c r="A294" s="26">
        <v>1501</v>
      </c>
      <c r="B294" s="27" t="s">
        <v>335</v>
      </c>
      <c r="C294" s="28">
        <v>1272776610</v>
      </c>
      <c r="D294" s="19">
        <v>46096</v>
      </c>
      <c r="E294" s="19" t="s">
        <v>85</v>
      </c>
    </row>
    <row r="295" spans="1:5" ht="16.5" thickBot="1" x14ac:dyDescent="0.25">
      <c r="A295" s="26">
        <v>1502</v>
      </c>
      <c r="B295" s="27" t="s">
        <v>336</v>
      </c>
      <c r="C295" s="28">
        <v>1205185142</v>
      </c>
      <c r="D295" s="19">
        <v>46096</v>
      </c>
      <c r="E295" s="19" t="s">
        <v>197</v>
      </c>
    </row>
    <row r="296" spans="1:5" ht="16.5" thickBot="1" x14ac:dyDescent="0.25">
      <c r="A296" s="26">
        <v>1503</v>
      </c>
      <c r="B296" s="27" t="s">
        <v>337</v>
      </c>
      <c r="C296" s="28">
        <v>1280602828</v>
      </c>
      <c r="D296" s="19">
        <v>46096</v>
      </c>
      <c r="E296" s="19" t="s">
        <v>85</v>
      </c>
    </row>
    <row r="297" spans="1:5" ht="16.5" thickBot="1" x14ac:dyDescent="0.25">
      <c r="A297" s="26">
        <v>1504</v>
      </c>
      <c r="B297" s="27" t="s">
        <v>338</v>
      </c>
      <c r="C297" s="28">
        <v>1206177099</v>
      </c>
      <c r="D297" s="19">
        <v>46096</v>
      </c>
      <c r="E297" s="19" t="s">
        <v>85</v>
      </c>
    </row>
    <row r="298" spans="1:5" ht="16.5" thickBot="1" x14ac:dyDescent="0.25">
      <c r="A298" s="26">
        <v>1507</v>
      </c>
      <c r="B298" s="27" t="s">
        <v>340</v>
      </c>
      <c r="C298" s="28">
        <v>1002795598</v>
      </c>
      <c r="D298" s="19">
        <v>46096</v>
      </c>
      <c r="E298" s="19" t="s">
        <v>51</v>
      </c>
    </row>
    <row r="299" spans="1:5" ht="16.5" thickBot="1" x14ac:dyDescent="0.25">
      <c r="A299" s="26">
        <v>1508</v>
      </c>
      <c r="B299" s="27" t="s">
        <v>341</v>
      </c>
      <c r="C299" s="28">
        <v>1028961605</v>
      </c>
      <c r="D299" s="19">
        <v>46096</v>
      </c>
      <c r="E299" s="19" t="s">
        <v>51</v>
      </c>
    </row>
    <row r="300" spans="1:5" ht="16.5" thickBot="1" x14ac:dyDescent="0.25">
      <c r="A300" s="26">
        <v>1478</v>
      </c>
      <c r="B300" s="27" t="s">
        <v>344</v>
      </c>
      <c r="C300" s="28">
        <v>1024232020</v>
      </c>
      <c r="D300" s="19">
        <v>46096</v>
      </c>
      <c r="E300" s="19" t="s">
        <v>207</v>
      </c>
    </row>
    <row r="301" spans="1:5" ht="16.5" thickBot="1" x14ac:dyDescent="0.25">
      <c r="A301" s="26">
        <v>1510</v>
      </c>
      <c r="B301" s="27" t="s">
        <v>343</v>
      </c>
      <c r="C301" s="28">
        <v>1554278737</v>
      </c>
      <c r="D301" s="19">
        <v>46096</v>
      </c>
      <c r="E301" s="19" t="s">
        <v>207</v>
      </c>
    </row>
    <row r="302" spans="1:5" ht="16.5" thickBot="1" x14ac:dyDescent="0.25">
      <c r="A302" s="26">
        <v>1511</v>
      </c>
      <c r="B302" s="27" t="s">
        <v>345</v>
      </c>
      <c r="C302" s="28">
        <v>1006667261</v>
      </c>
      <c r="D302" s="19">
        <v>46097</v>
      </c>
      <c r="E302" s="19" t="s">
        <v>207</v>
      </c>
    </row>
    <row r="303" spans="1:5" ht="16.5" thickBot="1" x14ac:dyDescent="0.25">
      <c r="A303" s="26">
        <v>1512</v>
      </c>
      <c r="B303" s="27" t="s">
        <v>346</v>
      </c>
      <c r="C303" s="28">
        <v>1064642710</v>
      </c>
      <c r="D303" s="19">
        <v>46098</v>
      </c>
      <c r="E303" s="19" t="s">
        <v>207</v>
      </c>
    </row>
    <row r="304" spans="1:5" ht="16.5" thickBot="1" x14ac:dyDescent="0.25">
      <c r="A304" s="26">
        <v>1514</v>
      </c>
      <c r="B304" s="27" t="s">
        <v>347</v>
      </c>
      <c r="C304" s="28">
        <v>1002465841</v>
      </c>
      <c r="D304" s="19">
        <v>46098</v>
      </c>
      <c r="E304" s="19" t="s">
        <v>207</v>
      </c>
    </row>
    <row r="305" spans="1:7" ht="16.5" thickBot="1" x14ac:dyDescent="0.25">
      <c r="A305" s="50">
        <v>1530</v>
      </c>
      <c r="B305" s="51" t="s">
        <v>348</v>
      </c>
      <c r="C305" s="52">
        <v>1557661323</v>
      </c>
      <c r="D305" s="53" t="s">
        <v>349</v>
      </c>
      <c r="E305" s="53" t="s">
        <v>178</v>
      </c>
      <c r="G305" s="49"/>
    </row>
    <row r="306" spans="1:7" ht="16.5" thickBot="1" x14ac:dyDescent="0.25">
      <c r="A306" s="50">
        <v>1531</v>
      </c>
      <c r="B306" s="51" t="s">
        <v>350</v>
      </c>
      <c r="C306" s="52">
        <v>1206000428</v>
      </c>
      <c r="D306" s="53" t="s">
        <v>349</v>
      </c>
      <c r="E306" s="53" t="s">
        <v>178</v>
      </c>
      <c r="G306" s="49"/>
    </row>
    <row r="307" spans="1:7" ht="16.5" thickBot="1" x14ac:dyDescent="0.25">
      <c r="A307" s="50">
        <v>1515</v>
      </c>
      <c r="B307" s="51" t="s">
        <v>351</v>
      </c>
      <c r="C307" s="52">
        <v>1029853056</v>
      </c>
      <c r="D307" s="53" t="s">
        <v>349</v>
      </c>
      <c r="E307" s="53" t="s">
        <v>97</v>
      </c>
      <c r="G307" s="49"/>
    </row>
    <row r="308" spans="1:7" ht="16.5" thickBot="1" x14ac:dyDescent="0.25">
      <c r="A308" s="50">
        <v>1516</v>
      </c>
      <c r="B308" s="51" t="s">
        <v>352</v>
      </c>
      <c r="C308" s="52">
        <v>1062002433</v>
      </c>
      <c r="D308" s="53" t="s">
        <v>349</v>
      </c>
      <c r="E308" s="53" t="s">
        <v>97</v>
      </c>
      <c r="G308" s="49"/>
    </row>
    <row r="309" spans="1:7" ht="16.5" thickBot="1" x14ac:dyDescent="0.25">
      <c r="A309" s="50">
        <v>1517</v>
      </c>
      <c r="B309" s="51" t="s">
        <v>353</v>
      </c>
      <c r="C309" s="52">
        <v>1015138400</v>
      </c>
      <c r="D309" s="53" t="s">
        <v>349</v>
      </c>
      <c r="E309" s="53" t="s">
        <v>97</v>
      </c>
      <c r="G309" s="49"/>
    </row>
    <row r="310" spans="1:7" ht="16.5" thickBot="1" x14ac:dyDescent="0.25">
      <c r="A310" s="50">
        <v>1518</v>
      </c>
      <c r="B310" s="51" t="s">
        <v>354</v>
      </c>
      <c r="C310" s="52">
        <v>1067816284</v>
      </c>
      <c r="D310" s="53" t="s">
        <v>349</v>
      </c>
      <c r="E310" s="53" t="s">
        <v>97</v>
      </c>
      <c r="G310" s="49"/>
    </row>
    <row r="311" spans="1:7" ht="16.5" thickBot="1" x14ac:dyDescent="0.25">
      <c r="A311" s="50">
        <v>1519</v>
      </c>
      <c r="B311" s="51" t="s">
        <v>355</v>
      </c>
      <c r="C311" s="52">
        <v>1096227514</v>
      </c>
      <c r="D311" s="53" t="s">
        <v>349</v>
      </c>
      <c r="E311" s="53" t="s">
        <v>97</v>
      </c>
      <c r="G311" s="49"/>
    </row>
    <row r="312" spans="1:7" ht="16.5" thickBot="1" x14ac:dyDescent="0.25">
      <c r="A312" s="50">
        <v>1520</v>
      </c>
      <c r="B312" s="51" t="s">
        <v>356</v>
      </c>
      <c r="C312" s="52">
        <v>1018585965</v>
      </c>
      <c r="D312" s="53" t="s">
        <v>349</v>
      </c>
      <c r="E312" s="53" t="s">
        <v>97</v>
      </c>
      <c r="G312" s="49"/>
    </row>
    <row r="313" spans="1:7" ht="16.5" thickBot="1" x14ac:dyDescent="0.25">
      <c r="A313" s="50">
        <v>1521</v>
      </c>
      <c r="B313" s="51" t="s">
        <v>357</v>
      </c>
      <c r="C313" s="52">
        <v>1122971244</v>
      </c>
      <c r="D313" s="53" t="s">
        <v>349</v>
      </c>
      <c r="E313" s="53" t="s">
        <v>97</v>
      </c>
      <c r="G313" s="49"/>
    </row>
    <row r="314" spans="1:7" ht="16.5" thickBot="1" x14ac:dyDescent="0.25">
      <c r="A314" s="50">
        <v>1522</v>
      </c>
      <c r="B314" s="51" t="s">
        <v>359</v>
      </c>
      <c r="C314" s="52">
        <v>1012744343</v>
      </c>
      <c r="D314" s="53" t="s">
        <v>349</v>
      </c>
      <c r="E314" s="53" t="s">
        <v>97</v>
      </c>
      <c r="G314" s="49"/>
    </row>
    <row r="315" spans="1:7" ht="16.5" thickBot="1" x14ac:dyDescent="0.25">
      <c r="A315" s="50">
        <v>1523</v>
      </c>
      <c r="B315" s="51" t="s">
        <v>360</v>
      </c>
      <c r="C315" s="52">
        <v>1018984375</v>
      </c>
      <c r="D315" s="53" t="s">
        <v>349</v>
      </c>
      <c r="E315" s="53" t="s">
        <v>97</v>
      </c>
      <c r="G315" s="49"/>
    </row>
    <row r="316" spans="1:7" ht="16.5" thickBot="1" x14ac:dyDescent="0.25">
      <c r="A316" s="50">
        <v>1524</v>
      </c>
      <c r="B316" s="51" t="s">
        <v>361</v>
      </c>
      <c r="C316" s="52">
        <v>1007519337</v>
      </c>
      <c r="D316" s="53" t="s">
        <v>349</v>
      </c>
      <c r="E316" s="53" t="s">
        <v>97</v>
      </c>
      <c r="G316" s="49"/>
    </row>
    <row r="317" spans="1:7" ht="16.5" thickBot="1" x14ac:dyDescent="0.25">
      <c r="A317" s="50">
        <v>1525</v>
      </c>
      <c r="B317" s="51" t="s">
        <v>362</v>
      </c>
      <c r="C317" s="52">
        <v>1066398134</v>
      </c>
      <c r="D317" s="53" t="s">
        <v>349</v>
      </c>
      <c r="E317" s="53" t="s">
        <v>97</v>
      </c>
      <c r="G317" s="49"/>
    </row>
    <row r="318" spans="1:7" ht="16.5" thickBot="1" x14ac:dyDescent="0.25">
      <c r="A318" s="50">
        <v>1526</v>
      </c>
      <c r="B318" s="51" t="s">
        <v>363</v>
      </c>
      <c r="C318" s="52">
        <v>1060388369</v>
      </c>
      <c r="D318" s="53" t="s">
        <v>349</v>
      </c>
      <c r="E318" s="53" t="s">
        <v>97</v>
      </c>
      <c r="G318" s="49"/>
    </row>
    <row r="319" spans="1:7" ht="16.5" thickBot="1" x14ac:dyDescent="0.25">
      <c r="A319" s="50">
        <v>1527</v>
      </c>
      <c r="B319" s="51" t="s">
        <v>364</v>
      </c>
      <c r="C319" s="52">
        <v>1031307439</v>
      </c>
      <c r="D319" s="53" t="s">
        <v>349</v>
      </c>
      <c r="E319" s="53" t="s">
        <v>97</v>
      </c>
      <c r="G319" s="49"/>
    </row>
    <row r="320" spans="1:7" ht="16.5" thickBot="1" x14ac:dyDescent="0.25">
      <c r="A320" s="50">
        <v>1528</v>
      </c>
      <c r="B320" s="51" t="s">
        <v>365</v>
      </c>
      <c r="C320" s="52">
        <v>1069803508</v>
      </c>
      <c r="D320" s="53" t="s">
        <v>349</v>
      </c>
      <c r="E320" s="53" t="s">
        <v>97</v>
      </c>
      <c r="G320" s="49"/>
    </row>
    <row r="321" spans="1:7" ht="16.5" thickBot="1" x14ac:dyDescent="0.25">
      <c r="A321" s="50">
        <v>1529</v>
      </c>
      <c r="B321" s="51" t="s">
        <v>366</v>
      </c>
      <c r="C321" s="52">
        <v>1064563803</v>
      </c>
      <c r="D321" s="53" t="s">
        <v>349</v>
      </c>
      <c r="E321" s="53" t="s">
        <v>97</v>
      </c>
      <c r="G321" s="49"/>
    </row>
    <row r="322" spans="1:7" ht="16.5" thickBot="1" x14ac:dyDescent="0.25">
      <c r="A322" s="50">
        <v>1539</v>
      </c>
      <c r="B322" s="51" t="s">
        <v>358</v>
      </c>
      <c r="C322" s="52">
        <v>1011077589</v>
      </c>
      <c r="D322" s="53" t="s">
        <v>349</v>
      </c>
      <c r="E322" s="53" t="s">
        <v>97</v>
      </c>
      <c r="G322" s="49"/>
    </row>
    <row r="323" spans="1:7" ht="16.5" thickBot="1" x14ac:dyDescent="0.25">
      <c r="A323" s="50">
        <v>1540</v>
      </c>
      <c r="B323" s="51" t="s">
        <v>367</v>
      </c>
      <c r="C323" s="52">
        <v>1124406758</v>
      </c>
      <c r="D323" s="53" t="s">
        <v>349</v>
      </c>
      <c r="E323" s="53" t="s">
        <v>97</v>
      </c>
      <c r="G323" s="49"/>
    </row>
    <row r="324" spans="1:7" ht="16.5" thickBot="1" x14ac:dyDescent="0.25">
      <c r="A324" s="50">
        <v>1532</v>
      </c>
      <c r="B324" s="51" t="s">
        <v>368</v>
      </c>
      <c r="C324" s="52">
        <v>1124406758</v>
      </c>
      <c r="D324" s="53" t="s">
        <v>349</v>
      </c>
      <c r="E324" s="53" t="s">
        <v>51</v>
      </c>
      <c r="G324" s="49"/>
    </row>
    <row r="325" spans="1:7" ht="16.5" thickBot="1" x14ac:dyDescent="0.25">
      <c r="A325" s="51">
        <v>1541</v>
      </c>
      <c r="B325" s="51" t="s">
        <v>381</v>
      </c>
      <c r="C325" s="52">
        <v>1026245735</v>
      </c>
      <c r="D325" s="53">
        <v>46110</v>
      </c>
      <c r="E325" s="53" t="s">
        <v>97</v>
      </c>
      <c r="G325" s="49"/>
    </row>
    <row r="326" spans="1:7" x14ac:dyDescent="0.2">
      <c r="A326" s="11"/>
      <c r="C326" s="11"/>
      <c r="G326" s="49"/>
    </row>
    <row r="327" spans="1:7" x14ac:dyDescent="0.2">
      <c r="A327" s="11"/>
      <c r="C327" s="11"/>
      <c r="G327" s="49"/>
    </row>
    <row r="328" spans="1:7" x14ac:dyDescent="0.2">
      <c r="A328" s="11"/>
      <c r="G328" s="49"/>
    </row>
    <row r="329" spans="1:7" x14ac:dyDescent="0.2">
      <c r="A329" s="54">
        <v>1490</v>
      </c>
      <c r="B329" s="54" t="s">
        <v>327</v>
      </c>
      <c r="G329" s="49"/>
    </row>
    <row r="330" spans="1:7" x14ac:dyDescent="0.2">
      <c r="A330" s="54">
        <v>1493</v>
      </c>
      <c r="B330" s="54" t="s">
        <v>330</v>
      </c>
      <c r="G330" s="49"/>
    </row>
    <row r="331" spans="1:7" x14ac:dyDescent="0.2">
      <c r="A331" s="54">
        <v>1495</v>
      </c>
      <c r="B331" s="54" t="s">
        <v>391</v>
      </c>
    </row>
    <row r="332" spans="1:7" x14ac:dyDescent="0.2">
      <c r="A332" s="54">
        <v>1496</v>
      </c>
      <c r="B332" s="54" t="s">
        <v>331</v>
      </c>
    </row>
    <row r="333" spans="1:7" x14ac:dyDescent="0.2">
      <c r="A333" s="54">
        <v>1498</v>
      </c>
      <c r="B333" s="54" t="s">
        <v>333</v>
      </c>
    </row>
    <row r="334" spans="1:7" x14ac:dyDescent="0.2">
      <c r="A334" s="54">
        <v>1502</v>
      </c>
      <c r="B334" s="54" t="s">
        <v>336</v>
      </c>
    </row>
    <row r="335" spans="1:7" x14ac:dyDescent="0.2">
      <c r="A335" s="11"/>
    </row>
    <row r="336" spans="1:7" x14ac:dyDescent="0.2">
      <c r="A336" s="11"/>
    </row>
    <row r="337" spans="1:1" x14ac:dyDescent="0.2">
      <c r="A337" s="11"/>
    </row>
    <row r="338" spans="1:1" x14ac:dyDescent="0.2">
      <c r="A338" s="11"/>
    </row>
    <row r="339" spans="1:1" x14ac:dyDescent="0.2">
      <c r="A339" s="11"/>
    </row>
    <row r="340" spans="1:1" x14ac:dyDescent="0.2">
      <c r="A340" s="11"/>
    </row>
    <row r="341" spans="1:1" x14ac:dyDescent="0.2">
      <c r="A341" s="11"/>
    </row>
    <row r="342" spans="1:1" x14ac:dyDescent="0.2">
      <c r="A342" s="11"/>
    </row>
    <row r="343" spans="1:1" x14ac:dyDescent="0.2">
      <c r="A343" s="11"/>
    </row>
    <row r="344" spans="1:1" x14ac:dyDescent="0.2">
      <c r="A344" s="11"/>
    </row>
  </sheetData>
  <protectedRanges>
    <protectedRange sqref="B107" name="Range1"/>
  </protectedRanges>
  <sortState xmlns:xlrd2="http://schemas.microsoft.com/office/spreadsheetml/2017/richdata2" ref="A47:B54">
    <sortCondition ref="A47:A54"/>
  </sortState>
  <conditionalFormatting sqref="A1:A328 A335:A1048576">
    <cfRule type="duplicateValues" dxfId="356" priority="14"/>
  </conditionalFormatting>
  <conditionalFormatting sqref="A1:A1048576">
    <cfRule type="duplicateValues" dxfId="355" priority="1"/>
  </conditionalFormatting>
  <conditionalFormatting sqref="A27:A28">
    <cfRule type="duplicateValues" dxfId="354" priority="228"/>
    <cfRule type="duplicateValues" dxfId="353" priority="227"/>
    <cfRule type="duplicateValues" dxfId="352" priority="226"/>
    <cfRule type="duplicateValues" dxfId="351" priority="225"/>
    <cfRule type="duplicateValues" dxfId="350" priority="224"/>
    <cfRule type="duplicateValues" dxfId="349" priority="216"/>
    <cfRule type="duplicateValues" dxfId="348" priority="223"/>
    <cfRule type="duplicateValues" dxfId="347" priority="217"/>
    <cfRule type="duplicateValues" dxfId="346" priority="218"/>
    <cfRule type="duplicateValues" dxfId="345" priority="219"/>
    <cfRule type="duplicateValues" dxfId="344" priority="220"/>
    <cfRule type="duplicateValues" dxfId="343" priority="221"/>
    <cfRule type="duplicateValues" dxfId="342" priority="222"/>
    <cfRule type="duplicateValues" dxfId="341" priority="231"/>
    <cfRule type="duplicateValues" dxfId="340" priority="230"/>
    <cfRule type="duplicateValues" dxfId="339" priority="229"/>
  </conditionalFormatting>
  <conditionalFormatting sqref="A261:A324">
    <cfRule type="duplicateValues" dxfId="338" priority="2941"/>
  </conditionalFormatting>
  <conditionalFormatting sqref="A329:A334">
    <cfRule type="duplicateValues" dxfId="337" priority="2"/>
    <cfRule type="duplicateValues" dxfId="336" priority="3"/>
    <cfRule type="duplicateValues" dxfId="335" priority="4"/>
    <cfRule type="duplicateValues" dxfId="334" priority="5"/>
    <cfRule type="duplicateValues" dxfId="333" priority="6"/>
    <cfRule type="duplicateValues" dxfId="332" priority="7"/>
    <cfRule type="duplicateValues" dxfId="331" priority="9"/>
    <cfRule type="duplicateValues" dxfId="330" priority="10"/>
    <cfRule type="duplicateValues" dxfId="329" priority="11"/>
    <cfRule type="duplicateValues" dxfId="328" priority="12"/>
    <cfRule type="duplicateValues" dxfId="327" priority="13"/>
    <cfRule type="duplicateValues" dxfId="326" priority="8"/>
  </conditionalFormatting>
  <conditionalFormatting sqref="A345:A1048576 A1:A324 A326:A327">
    <cfRule type="duplicateValues" dxfId="325" priority="23"/>
  </conditionalFormatting>
  <conditionalFormatting sqref="A345:A1048576 A1:A324">
    <cfRule type="duplicateValues" dxfId="324" priority="42"/>
    <cfRule type="duplicateValues" dxfId="323" priority="24"/>
    <cfRule type="duplicateValues" dxfId="322" priority="2997"/>
    <cfRule type="duplicateValues" dxfId="321" priority="2977"/>
    <cfRule type="duplicateValues" dxfId="320" priority="2978"/>
    <cfRule type="duplicateValues" dxfId="319" priority="2979"/>
    <cfRule type="duplicateValues" dxfId="318" priority="2980"/>
    <cfRule type="duplicateValues" dxfId="317" priority="3000"/>
    <cfRule type="duplicateValues" dxfId="316" priority="3001"/>
    <cfRule type="duplicateValues" dxfId="315" priority="3002"/>
    <cfRule type="duplicateValues" dxfId="314" priority="3003"/>
    <cfRule type="duplicateValues" dxfId="313" priority="3004"/>
    <cfRule type="duplicateValues" dxfId="312" priority="3005"/>
  </conditionalFormatting>
  <conditionalFormatting sqref="A345:A1048576">
    <cfRule type="duplicateValues" dxfId="311" priority="2966"/>
    <cfRule type="duplicateValues" dxfId="310" priority="2989"/>
    <cfRule type="duplicateValues" dxfId="309" priority="2965"/>
  </conditionalFormatting>
  <conditionalFormatting sqref="A325:B325">
    <cfRule type="duplicateValues" dxfId="308" priority="15"/>
    <cfRule type="duplicateValues" dxfId="307" priority="16"/>
  </conditionalFormatting>
  <conditionalFormatting sqref="A328:B328 A335:B344">
    <cfRule type="duplicateValues" dxfId="306" priority="17"/>
  </conditionalFormatting>
  <conditionalFormatting sqref="B27:B28">
    <cfRule type="duplicateValues" dxfId="305" priority="232"/>
    <cfRule type="duplicateValues" dxfId="304" priority="233"/>
    <cfRule type="duplicateValues" dxfId="303" priority="234"/>
  </conditionalFormatting>
  <conditionalFormatting sqref="B105:B106">
    <cfRule type="duplicateValues" dxfId="302" priority="997"/>
    <cfRule type="duplicateValues" dxfId="301" priority="998"/>
    <cfRule type="duplicateValues" dxfId="300" priority="999"/>
    <cfRule type="duplicateValues" dxfId="299" priority="1000"/>
  </conditionalFormatting>
  <conditionalFormatting sqref="B278">
    <cfRule type="duplicateValues" dxfId="298" priority="21"/>
  </conditionalFormatting>
  <conditionalFormatting sqref="B345:B1048576 B1:B324 B326:B327">
    <cfRule type="duplicateValues" dxfId="297" priority="22"/>
  </conditionalFormatting>
  <conditionalFormatting sqref="B345:B1048576 B1:B324">
    <cfRule type="duplicateValues" dxfId="296" priority="3062"/>
  </conditionalFormatting>
  <conditionalFormatting sqref="B345:B1048576">
    <cfRule type="duplicateValues" dxfId="295" priority="19"/>
    <cfRule type="duplicateValues" dxfId="294" priority="18"/>
  </conditionalFormatting>
  <pageMargins left="0.7" right="0.7" top="0.75" bottom="0.75" header="0.3" footer="0.3"/>
  <pageSetup scale="1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02FC-3D15-437F-BF48-68E257FC8E78}">
  <dimension ref="A1:AA38"/>
  <sheetViews>
    <sheetView zoomScale="90" zoomScaleNormal="90" workbookViewId="0">
      <selection activeCell="I18" sqref="I18"/>
    </sheetView>
  </sheetViews>
  <sheetFormatPr defaultRowHeight="14.25" x14ac:dyDescent="0.2"/>
  <cols>
    <col min="1" max="1" width="28.125" bestFit="1" customWidth="1"/>
    <col min="2" max="2" width="4.125" bestFit="1" customWidth="1"/>
    <col min="3" max="3" width="5.875" bestFit="1" customWidth="1"/>
    <col min="4" max="4" width="24.875" bestFit="1" customWidth="1"/>
    <col min="5" max="5" width="4.125" bestFit="1" customWidth="1"/>
    <col min="6" max="6" width="4.125" customWidth="1"/>
    <col min="7" max="7" width="8.875" customWidth="1"/>
    <col min="8" max="8" width="22.375" bestFit="1" customWidth="1"/>
    <col min="9" max="9" width="5.375" customWidth="1"/>
    <col min="11" max="11" width="22.25" bestFit="1" customWidth="1"/>
    <col min="12" max="12" width="5" customWidth="1"/>
    <col min="13" max="13" width="4.125" customWidth="1"/>
    <col min="15" max="15" width="24.25" customWidth="1"/>
    <col min="16" max="16" width="5.625" customWidth="1"/>
    <col min="23" max="23" width="8.125" customWidth="1"/>
    <col min="24" max="24" width="15.625" bestFit="1" customWidth="1"/>
  </cols>
  <sheetData>
    <row r="1" spans="1:27" ht="18" customHeight="1" x14ac:dyDescent="0.2">
      <c r="A1" s="4" t="s">
        <v>268</v>
      </c>
      <c r="B1" s="3">
        <f>COUNTIF('Employe Database'!E:E,"Execution Manager")</f>
        <v>1</v>
      </c>
      <c r="C1" s="7"/>
      <c r="D1" s="4" t="s">
        <v>3</v>
      </c>
      <c r="E1" s="3">
        <f>COUNTIF('Employe Database'!E:E,"Shift Manager")</f>
        <v>4</v>
      </c>
      <c r="F1" s="7"/>
      <c r="G1" s="7"/>
      <c r="H1" s="4" t="s">
        <v>6</v>
      </c>
      <c r="I1" s="3">
        <f>COUNTIF('Employe Database'!E:E,"Training Manager")</f>
        <v>1</v>
      </c>
      <c r="J1" s="8"/>
      <c r="K1" s="4" t="s">
        <v>8</v>
      </c>
      <c r="L1" s="3">
        <f>COUNTIF('Employe Database'!E:E,"Lashing Supervisor")</f>
        <v>1</v>
      </c>
      <c r="M1" s="8"/>
      <c r="N1" s="8"/>
      <c r="O1" s="4" t="s">
        <v>10</v>
      </c>
      <c r="P1" s="3">
        <f>COUNTIF('Employe Database'!E:E,"Monitoring Team Leader")</f>
        <v>3</v>
      </c>
      <c r="Q1" s="8"/>
      <c r="R1" s="130" t="s">
        <v>269</v>
      </c>
      <c r="S1" s="130"/>
      <c r="T1" s="130"/>
      <c r="U1" s="130"/>
      <c r="V1" s="130">
        <f>SUM(B1,E1:E2,I1:I3,L1:L2,P1:P3,G6:G7,E8:E10)</f>
        <v>324</v>
      </c>
      <c r="W1" s="130"/>
      <c r="X1" s="8"/>
      <c r="Y1" s="8"/>
      <c r="Z1" s="8"/>
      <c r="AA1" s="8"/>
    </row>
    <row r="2" spans="1:27" ht="22.5" customHeight="1" x14ac:dyDescent="0.2">
      <c r="A2" s="7"/>
      <c r="B2" s="7"/>
      <c r="C2" s="7"/>
      <c r="D2" s="4" t="s">
        <v>14</v>
      </c>
      <c r="E2" s="3">
        <f>COUNTIF('Employe Database'!E:E,"Operation Supervisor")</f>
        <v>9</v>
      </c>
      <c r="F2" s="7"/>
      <c r="G2" s="7"/>
      <c r="H2" s="4" t="s">
        <v>23</v>
      </c>
      <c r="I2" s="3">
        <f>COUNTIF('Employe Database'!E:E,"Training Supervisor")</f>
        <v>1</v>
      </c>
      <c r="J2" s="8"/>
      <c r="K2" s="4" t="s">
        <v>31</v>
      </c>
      <c r="L2" s="3">
        <f>COUNTIF('Employe Database'!E:E,"lashing Foreman")</f>
        <v>9</v>
      </c>
      <c r="M2" s="8"/>
      <c r="N2" s="8"/>
      <c r="O2" s="4" t="s">
        <v>180</v>
      </c>
      <c r="P2" s="3">
        <f>COUNTIF('Employe Database'!E:E,"Senior Dispatcher")</f>
        <v>3</v>
      </c>
      <c r="Q2" s="8"/>
      <c r="R2" s="130"/>
      <c r="S2" s="130"/>
      <c r="T2" s="130"/>
      <c r="U2" s="130"/>
      <c r="V2" s="130"/>
      <c r="W2" s="130"/>
      <c r="X2" s="8"/>
      <c r="Y2" s="8"/>
      <c r="Z2" s="8"/>
      <c r="AA2" s="8"/>
    </row>
    <row r="3" spans="1:27" ht="15.75" x14ac:dyDescent="0.2">
      <c r="A3" s="7"/>
      <c r="B3" s="7"/>
      <c r="C3" s="7"/>
      <c r="D3" s="7"/>
      <c r="E3" s="7"/>
      <c r="F3" s="7"/>
      <c r="G3" s="7"/>
      <c r="H3" s="4" t="s">
        <v>25</v>
      </c>
      <c r="I3" s="3">
        <f>COUNTIF('Employe Database'!E:E,"Truck Foreman")</f>
        <v>8</v>
      </c>
      <c r="J3" s="8"/>
      <c r="L3" s="8"/>
      <c r="M3" s="8"/>
      <c r="N3" s="8"/>
      <c r="O3" s="4" t="s">
        <v>178</v>
      </c>
      <c r="P3" s="3">
        <f>COUNTIF('Employe Database'!E:E,"Dispatcher")</f>
        <v>13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x14ac:dyDescent="0.2">
      <c r="A4" s="7"/>
      <c r="B4" s="7"/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.75" x14ac:dyDescent="0.2">
      <c r="A5" s="7"/>
      <c r="B5" s="7"/>
      <c r="C5" s="7"/>
      <c r="D5" s="7"/>
      <c r="E5" s="47" t="s">
        <v>282</v>
      </c>
      <c r="F5" s="47" t="s">
        <v>283</v>
      </c>
      <c r="G5" s="47" t="s">
        <v>284</v>
      </c>
      <c r="H5" s="7"/>
      <c r="I5" s="7"/>
      <c r="J5" s="8"/>
      <c r="K5" s="8"/>
      <c r="L5" s="8"/>
      <c r="M5" s="8"/>
      <c r="N5" s="8"/>
      <c r="O5" s="7"/>
      <c r="P5" s="7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.75" x14ac:dyDescent="0.2">
      <c r="A6" s="7"/>
      <c r="B6" s="7"/>
      <c r="C6" s="7"/>
      <c r="D6" s="4" t="s">
        <v>270</v>
      </c>
      <c r="E6" s="3">
        <f>COUNTIF('Employe Database'!E:E,"STS Experience")</f>
        <v>18</v>
      </c>
      <c r="F6" s="3">
        <f>COUNTIF('Employe Database'!E:E,"STS Fresh")</f>
        <v>30</v>
      </c>
      <c r="G6" s="3">
        <f>SUM(E6:F6)</f>
        <v>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.75" x14ac:dyDescent="0.2">
      <c r="A7" s="7"/>
      <c r="B7" s="7"/>
      <c r="C7" s="7"/>
      <c r="D7" s="4" t="s">
        <v>271</v>
      </c>
      <c r="E7" s="3">
        <f>COUNTIF('Employe Database'!E:E,"RTG Experience")</f>
        <v>40</v>
      </c>
      <c r="F7" s="3">
        <f>COUNTIF('Employe Database'!E:E,"RTG Fresh")</f>
        <v>80</v>
      </c>
      <c r="G7" s="3">
        <f>SUM(E7:F7)</f>
        <v>120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x14ac:dyDescent="0.2">
      <c r="A8" s="7"/>
      <c r="B8" s="7"/>
      <c r="C8" s="7"/>
      <c r="D8" s="4" t="s">
        <v>272</v>
      </c>
      <c r="E8" s="3">
        <f>COUNTIF('Employe Database'!E:E,"RS&amp;EH Experience")</f>
        <v>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/>
      <c r="Y8" s="8"/>
      <c r="Z8" s="8"/>
      <c r="AA8" s="8"/>
    </row>
    <row r="9" spans="1:27" ht="15.75" x14ac:dyDescent="0.2">
      <c r="A9" s="7"/>
      <c r="B9" s="7"/>
      <c r="C9" s="7"/>
      <c r="D9" s="4" t="s">
        <v>207</v>
      </c>
      <c r="E9" s="3">
        <f>COUNTIF('Employe Database'!E:E,"D&amp;W")</f>
        <v>87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8"/>
    </row>
    <row r="10" spans="1:27" ht="15.75" x14ac:dyDescent="0.2">
      <c r="A10" s="7"/>
      <c r="B10" s="7"/>
      <c r="C10" s="7"/>
      <c r="D10" s="4" t="s">
        <v>264</v>
      </c>
      <c r="E10" s="3">
        <f>COUNTIF('Employe Database'!E:E,"Roster Controller")</f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  <c r="AA10" s="8"/>
    </row>
    <row r="11" spans="1:27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8"/>
      <c r="Y11" s="8"/>
      <c r="Z11" s="8"/>
      <c r="AA11" s="8"/>
    </row>
    <row r="12" spans="1:27" ht="15" x14ac:dyDescent="0.25">
      <c r="A12" s="8"/>
      <c r="B12" s="8"/>
      <c r="C12" s="8"/>
      <c r="D12" s="8"/>
      <c r="E12" s="8"/>
      <c r="F12" s="8"/>
      <c r="G12" s="131" t="s">
        <v>278</v>
      </c>
      <c r="H12" s="132"/>
      <c r="I12" s="132"/>
      <c r="J12" s="133"/>
      <c r="K12" s="8"/>
      <c r="L12" s="8"/>
      <c r="M12" s="8"/>
      <c r="N12" s="140" t="s">
        <v>280</v>
      </c>
      <c r="O12" s="141"/>
      <c r="P12" s="141"/>
      <c r="Q12" s="142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x14ac:dyDescent="0.2">
      <c r="A13" s="8"/>
      <c r="B13" s="8"/>
      <c r="C13" s="8"/>
      <c r="D13" s="8"/>
      <c r="E13" s="8"/>
      <c r="F13" s="8"/>
      <c r="G13" s="8"/>
      <c r="H13" s="5" t="s">
        <v>3</v>
      </c>
      <c r="I13" s="3">
        <f>COUNTIF('HeadCount&amp;Database '!F5:F8,"A")</f>
        <v>0</v>
      </c>
      <c r="J13" s="8"/>
      <c r="K13" s="8"/>
      <c r="L13" s="8"/>
      <c r="M13" s="8"/>
      <c r="N13" s="8"/>
      <c r="O13" s="5" t="s">
        <v>3</v>
      </c>
      <c r="P13" s="3">
        <f>COUNTIF('HeadCount&amp;Database '!F5:F8,"C")</f>
        <v>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x14ac:dyDescent="0.2">
      <c r="A14" s="8"/>
      <c r="B14" s="8"/>
      <c r="C14" s="8"/>
      <c r="D14" s="8"/>
      <c r="E14" s="8"/>
      <c r="F14" s="8"/>
      <c r="G14" s="8"/>
      <c r="H14" s="6" t="s">
        <v>14</v>
      </c>
      <c r="I14" s="3">
        <f>COUNTIF('HeadCount&amp;Database '!F34:F42,"A")</f>
        <v>2</v>
      </c>
      <c r="J14" s="8"/>
      <c r="K14" s="8"/>
      <c r="L14" s="8"/>
      <c r="M14" s="8"/>
      <c r="N14" s="8"/>
      <c r="O14" s="6" t="s">
        <v>14</v>
      </c>
      <c r="P14" s="3">
        <f>COUNTIF('HeadCount&amp;Database '!F34:F42,"C")</f>
        <v>3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x14ac:dyDescent="0.2">
      <c r="A15" s="8"/>
      <c r="B15" s="8"/>
      <c r="C15" s="8"/>
      <c r="D15" s="8"/>
      <c r="E15" s="8"/>
      <c r="F15" s="8"/>
      <c r="G15" s="8"/>
      <c r="H15" s="6" t="s">
        <v>10</v>
      </c>
      <c r="I15" s="3">
        <f>COUNTIF('HeadCount&amp;Database '!F11:F13,"A")</f>
        <v>1</v>
      </c>
      <c r="J15" s="8"/>
      <c r="K15" s="8"/>
      <c r="L15" s="8"/>
      <c r="M15" s="8"/>
      <c r="N15" s="8"/>
      <c r="O15" s="6" t="s">
        <v>10</v>
      </c>
      <c r="P15" s="3">
        <f>COUNTIF('HeadCount&amp;Database '!F11:F13,"C")</f>
        <v>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x14ac:dyDescent="0.2">
      <c r="A16" s="8"/>
      <c r="B16" s="8"/>
      <c r="C16" s="8"/>
      <c r="D16" s="8"/>
      <c r="E16" s="8"/>
      <c r="F16" s="8"/>
      <c r="G16" s="8"/>
      <c r="H16" s="6" t="s">
        <v>180</v>
      </c>
      <c r="I16" s="3">
        <f>COUNTIF('HeadCount&amp;Database '!F16:F18,"A")</f>
        <v>1</v>
      </c>
      <c r="J16" s="8"/>
      <c r="K16" s="8"/>
      <c r="L16" s="8"/>
      <c r="M16" s="8"/>
      <c r="N16" s="8"/>
      <c r="O16" s="6" t="s">
        <v>180</v>
      </c>
      <c r="P16" s="3">
        <f>COUNTIF('HeadCount&amp;Database '!F16:F18,"C")</f>
        <v>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x14ac:dyDescent="0.2">
      <c r="A17" s="8"/>
      <c r="B17" s="8"/>
      <c r="C17" s="8"/>
      <c r="D17" s="8"/>
      <c r="E17" s="8"/>
      <c r="F17" s="8"/>
      <c r="G17" s="8"/>
      <c r="H17" s="6" t="s">
        <v>178</v>
      </c>
      <c r="I17" s="3">
        <f>COUNTIF('HeadCount&amp;Database '!F19:F31,"A")</f>
        <v>3</v>
      </c>
      <c r="J17" s="8"/>
      <c r="K17" s="8"/>
      <c r="L17" s="8"/>
      <c r="M17" s="8"/>
      <c r="N17" s="8"/>
      <c r="O17" s="6" t="s">
        <v>178</v>
      </c>
      <c r="P17" s="3">
        <f>COUNTIF('HeadCount&amp;Database '!F19:F31,"C")</f>
        <v>3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x14ac:dyDescent="0.2">
      <c r="A18" s="8"/>
      <c r="B18" s="8"/>
      <c r="C18" s="8"/>
      <c r="D18" s="8"/>
      <c r="E18" s="8"/>
      <c r="F18" s="8"/>
      <c r="G18" s="8"/>
      <c r="H18" s="6" t="s">
        <v>25</v>
      </c>
      <c r="I18" s="3">
        <f>COUNTIF('HeadCount&amp;Database '!F61:F68,"A")</f>
        <v>2</v>
      </c>
      <c r="J18" s="8"/>
      <c r="K18" s="8"/>
      <c r="L18" s="8"/>
      <c r="M18" s="8"/>
      <c r="N18" s="8"/>
      <c r="O18" s="6" t="s">
        <v>25</v>
      </c>
      <c r="P18" s="3">
        <f>COUNTIF('HeadCount&amp;Database '!F61:F68,"C")</f>
        <v>2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x14ac:dyDescent="0.2">
      <c r="A19" s="8"/>
      <c r="B19" s="8"/>
      <c r="C19" s="8"/>
      <c r="D19" s="8"/>
      <c r="E19" s="8"/>
      <c r="F19" s="8"/>
      <c r="G19" s="8"/>
      <c r="H19" s="6" t="s">
        <v>31</v>
      </c>
      <c r="I19" s="3">
        <f>COUNTIF('HeadCount&amp;Database '!F49:F58,"A")</f>
        <v>2</v>
      </c>
      <c r="J19" s="8"/>
      <c r="K19" s="8"/>
      <c r="L19" s="8"/>
      <c r="M19" s="8"/>
      <c r="N19" s="8"/>
      <c r="O19" s="6" t="s">
        <v>31</v>
      </c>
      <c r="P19" s="3">
        <f>COUNTIF('HeadCount&amp;Database '!F49:F58,"C")</f>
        <v>2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x14ac:dyDescent="0.2">
      <c r="A20" s="8"/>
      <c r="B20" s="8"/>
      <c r="C20" s="8"/>
      <c r="D20" s="8"/>
      <c r="E20" s="8"/>
      <c r="F20" s="8"/>
      <c r="G20" s="8"/>
      <c r="H20" s="6" t="s">
        <v>264</v>
      </c>
      <c r="I20" s="3">
        <f>COUNTIF('HeadCount&amp;Database '!F71:F74,"A")</f>
        <v>0</v>
      </c>
      <c r="J20" s="8"/>
      <c r="K20" s="8"/>
      <c r="L20" s="8"/>
      <c r="M20" s="8"/>
      <c r="N20" s="8"/>
      <c r="O20" s="6" t="s">
        <v>264</v>
      </c>
      <c r="P20" s="3">
        <f>COUNTIF('HeadCount&amp;Database '!F71:F74,"C")</f>
        <v>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x14ac:dyDescent="0.2">
      <c r="A21" s="8"/>
      <c r="B21" s="8"/>
      <c r="C21" s="8"/>
      <c r="D21" s="8"/>
      <c r="E21" s="8"/>
      <c r="F21" s="8"/>
      <c r="G21" s="8"/>
      <c r="H21" s="6" t="s">
        <v>207</v>
      </c>
      <c r="I21" s="3">
        <f>COUNTIF('HeadCount&amp;Database '!F264:F349,"A")</f>
        <v>22</v>
      </c>
      <c r="J21" s="8"/>
      <c r="K21" s="8"/>
      <c r="L21" s="8"/>
      <c r="M21" s="8"/>
      <c r="N21" s="8"/>
      <c r="O21" s="6" t="s">
        <v>207</v>
      </c>
      <c r="P21" s="3">
        <f>COUNTIF('HeadCount&amp;Database '!F264:F349,"C")</f>
        <v>22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x14ac:dyDescent="0.2">
      <c r="A22" s="8"/>
      <c r="B22" s="8"/>
      <c r="C22" s="8"/>
      <c r="D22" s="8"/>
      <c r="E22" s="8"/>
      <c r="F22" s="8"/>
      <c r="G22" s="8"/>
      <c r="H22" s="6" t="s">
        <v>39</v>
      </c>
      <c r="I22" s="3">
        <f>COUNTIF('HeadCount&amp;Database '!F77:F124,"A")</f>
        <v>12</v>
      </c>
      <c r="J22" s="8"/>
      <c r="K22" s="8"/>
      <c r="L22" s="8"/>
      <c r="M22" s="8"/>
      <c r="N22" s="8"/>
      <c r="O22" s="6" t="s">
        <v>39</v>
      </c>
      <c r="P22" s="3">
        <f>COUNTIF('HeadCount&amp;Database '!F77:F124,"C")</f>
        <v>11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x14ac:dyDescent="0.2">
      <c r="A23" s="8"/>
      <c r="B23" s="8"/>
      <c r="C23" s="8"/>
      <c r="D23" s="8"/>
      <c r="E23" s="8"/>
      <c r="F23" s="8"/>
      <c r="G23" s="8"/>
      <c r="H23" s="6" t="s">
        <v>83</v>
      </c>
      <c r="I23" s="3">
        <f>COUNTIF('HeadCount&amp;Database '!F129:F246,"A")</f>
        <v>30</v>
      </c>
      <c r="J23" s="8"/>
      <c r="K23" s="8"/>
      <c r="L23" s="8"/>
      <c r="M23" s="8"/>
      <c r="N23" s="8"/>
      <c r="O23" s="6" t="s">
        <v>83</v>
      </c>
      <c r="P23" s="3">
        <f>COUNTIF('HeadCount&amp;Database '!F129:F251,"C")</f>
        <v>31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x14ac:dyDescent="0.2">
      <c r="A24" s="8"/>
      <c r="B24" s="8"/>
      <c r="C24" s="8"/>
      <c r="D24" s="8"/>
      <c r="E24" s="8"/>
      <c r="F24" s="8"/>
      <c r="G24" s="8"/>
      <c r="H24" s="6" t="s">
        <v>272</v>
      </c>
      <c r="I24" s="3">
        <f>COUNTIF('HeadCount&amp;Database '!F250:F261,"A")</f>
        <v>3</v>
      </c>
      <c r="J24" s="8"/>
      <c r="K24" s="8"/>
      <c r="L24" s="8"/>
      <c r="M24" s="8"/>
      <c r="N24" s="8"/>
      <c r="O24" s="6" t="s">
        <v>272</v>
      </c>
      <c r="P24" s="3">
        <f>COUNTIF('HeadCount&amp;Database '!F250:F261,"C")</f>
        <v>3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8"/>
      <c r="Y25" s="8"/>
      <c r="Z25" s="8"/>
      <c r="AA25" s="8"/>
    </row>
    <row r="26" spans="1:27" ht="15" x14ac:dyDescent="0.25">
      <c r="A26" s="8"/>
      <c r="B26" s="8"/>
      <c r="C26" s="8"/>
      <c r="D26" s="8"/>
      <c r="E26" s="8"/>
      <c r="F26" s="8"/>
      <c r="G26" s="134" t="s">
        <v>279</v>
      </c>
      <c r="H26" s="135"/>
      <c r="I26" s="135"/>
      <c r="J26" s="136"/>
      <c r="K26" s="8"/>
      <c r="L26" s="8"/>
      <c r="M26" s="8"/>
      <c r="N26" s="137" t="s">
        <v>281</v>
      </c>
      <c r="O26" s="138"/>
      <c r="P26" s="138"/>
      <c r="Q26" s="139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x14ac:dyDescent="0.2">
      <c r="A27" s="8"/>
      <c r="B27" s="8"/>
      <c r="C27" s="8"/>
      <c r="D27" s="8"/>
      <c r="E27" s="8"/>
      <c r="F27" s="8"/>
      <c r="G27" s="8"/>
      <c r="H27" s="5" t="s">
        <v>3</v>
      </c>
      <c r="I27" s="3">
        <f>COUNTIF('HeadCount&amp;Database '!F5:F8,"B")</f>
        <v>1</v>
      </c>
      <c r="J27" s="8"/>
      <c r="K27" s="8"/>
      <c r="L27" s="8"/>
      <c r="M27" s="8"/>
      <c r="N27" s="8"/>
      <c r="O27" s="5" t="s">
        <v>3</v>
      </c>
      <c r="P27" s="3">
        <f>COUNTIF('HeadCount&amp;Database '!F5:F8,"D")</f>
        <v>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x14ac:dyDescent="0.2">
      <c r="A28" s="8"/>
      <c r="B28" s="8"/>
      <c r="C28" s="8"/>
      <c r="D28" s="8"/>
      <c r="E28" s="8"/>
      <c r="F28" s="8"/>
      <c r="G28" s="8"/>
      <c r="H28" s="6" t="s">
        <v>14</v>
      </c>
      <c r="I28" s="3">
        <f>COUNTIF('HeadCount&amp;Database '!F34:F42,"B")</f>
        <v>2</v>
      </c>
      <c r="J28" s="8"/>
      <c r="K28" s="8"/>
      <c r="L28" s="8"/>
      <c r="M28" s="8"/>
      <c r="N28" s="8"/>
      <c r="O28" s="6" t="s">
        <v>14</v>
      </c>
      <c r="P28" s="3">
        <f>COUNTIF('HeadCount&amp;Database '!F34:F42,"D")</f>
        <v>2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x14ac:dyDescent="0.2">
      <c r="A29" s="8"/>
      <c r="B29" s="8"/>
      <c r="C29" s="8"/>
      <c r="D29" s="8"/>
      <c r="E29" s="8"/>
      <c r="F29" s="8"/>
      <c r="G29" s="8"/>
      <c r="H29" s="6" t="s">
        <v>10</v>
      </c>
      <c r="I29" s="3">
        <f>COUNTIF('HeadCount&amp;Database '!F11:F13,"B")</f>
        <v>1</v>
      </c>
      <c r="J29" s="8"/>
      <c r="K29" s="8"/>
      <c r="L29" s="8"/>
      <c r="M29" s="8"/>
      <c r="N29" s="8"/>
      <c r="O29" s="6" t="s">
        <v>10</v>
      </c>
      <c r="P29" s="3">
        <f>COUNTIF('HeadCount&amp;Database '!F25:F27,"D")</f>
        <v>1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x14ac:dyDescent="0.2">
      <c r="A30" s="8"/>
      <c r="B30" s="8"/>
      <c r="C30" s="8"/>
      <c r="D30" s="8"/>
      <c r="E30" s="8"/>
      <c r="F30" s="8"/>
      <c r="G30" s="8"/>
      <c r="H30" s="6" t="s">
        <v>180</v>
      </c>
      <c r="I30" s="3">
        <f>COUNTIF('HeadCount&amp;Database '!F16:F18,"A")</f>
        <v>1</v>
      </c>
      <c r="J30" s="8"/>
      <c r="K30" s="8"/>
      <c r="L30" s="8"/>
      <c r="M30" s="8"/>
      <c r="N30" s="8"/>
      <c r="O30" s="6" t="s">
        <v>180</v>
      </c>
      <c r="P30" s="3">
        <f>COUNTIF('HeadCount&amp;Database '!F16:F18,"D")</f>
        <v>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x14ac:dyDescent="0.2">
      <c r="A31" s="8"/>
      <c r="B31" s="8"/>
      <c r="C31" s="8"/>
      <c r="D31" s="8"/>
      <c r="E31" s="8"/>
      <c r="F31" s="8"/>
      <c r="G31" s="8"/>
      <c r="H31" s="6" t="s">
        <v>178</v>
      </c>
      <c r="I31" s="3">
        <f>COUNTIF('HeadCount&amp;Database '!F19:F31,"B")</f>
        <v>3</v>
      </c>
      <c r="J31" s="8"/>
      <c r="K31" s="8"/>
      <c r="L31" s="8"/>
      <c r="M31" s="8"/>
      <c r="N31" s="8"/>
      <c r="O31" s="6" t="s">
        <v>178</v>
      </c>
      <c r="P31" s="3">
        <f>COUNTIF('HeadCount&amp;Database '!F19:F31,"D")</f>
        <v>4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x14ac:dyDescent="0.2">
      <c r="A32" s="8"/>
      <c r="B32" s="8"/>
      <c r="C32" s="8"/>
      <c r="D32" s="8"/>
      <c r="E32" s="8"/>
      <c r="F32" s="8"/>
      <c r="G32" s="8"/>
      <c r="H32" s="6" t="s">
        <v>25</v>
      </c>
      <c r="I32" s="3">
        <f>COUNTIF('HeadCount&amp;Database '!F61:F68,"B")</f>
        <v>2</v>
      </c>
      <c r="J32" s="8"/>
      <c r="K32" s="8"/>
      <c r="L32" s="8"/>
      <c r="M32" s="8"/>
      <c r="N32" s="8"/>
      <c r="O32" s="6" t="s">
        <v>25</v>
      </c>
      <c r="P32" s="3">
        <f>COUNTIF('HeadCount&amp;Database '!F61:F68,"D")</f>
        <v>2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x14ac:dyDescent="0.2">
      <c r="A33" s="8"/>
      <c r="B33" s="8"/>
      <c r="C33" s="8"/>
      <c r="D33" s="8"/>
      <c r="E33" s="8"/>
      <c r="F33" s="8"/>
      <c r="G33" s="8"/>
      <c r="H33" s="6" t="s">
        <v>31</v>
      </c>
      <c r="I33" s="3">
        <f>COUNTIF('HeadCount&amp;Database '!F49:F58,"B")</f>
        <v>2</v>
      </c>
      <c r="J33" s="8"/>
      <c r="K33" s="8"/>
      <c r="L33" s="8"/>
      <c r="M33" s="8"/>
      <c r="N33" s="8"/>
      <c r="O33" s="6" t="s">
        <v>31</v>
      </c>
      <c r="P33" s="3">
        <f>COUNTIF('HeadCount&amp;Database '!F49:F58,"D")</f>
        <v>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x14ac:dyDescent="0.2">
      <c r="A34" s="8"/>
      <c r="B34" s="8"/>
      <c r="C34" s="8"/>
      <c r="D34" s="8"/>
      <c r="E34" s="8"/>
      <c r="F34" s="8"/>
      <c r="G34" s="8"/>
      <c r="H34" s="6" t="s">
        <v>264</v>
      </c>
      <c r="I34" s="3">
        <f>COUNTIF('HeadCount&amp;Database '!F71:F74,"B")</f>
        <v>1</v>
      </c>
      <c r="J34" s="8"/>
      <c r="K34" s="8"/>
      <c r="L34" s="8"/>
      <c r="M34" s="8"/>
      <c r="N34" s="8"/>
      <c r="O34" s="6" t="s">
        <v>264</v>
      </c>
      <c r="P34" s="3">
        <f>COUNTIF('HeadCount&amp;Database '!F71:F74,"D")</f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x14ac:dyDescent="0.2">
      <c r="A35" s="8"/>
      <c r="B35" s="8"/>
      <c r="C35" s="8"/>
      <c r="D35" s="8"/>
      <c r="E35" s="8"/>
      <c r="F35" s="8"/>
      <c r="G35" s="8"/>
      <c r="H35" s="6" t="s">
        <v>207</v>
      </c>
      <c r="I35" s="3">
        <f>COUNTIF('HeadCount&amp;Database '!F264:F349,"B")</f>
        <v>21</v>
      </c>
      <c r="J35" s="8"/>
      <c r="K35" s="8"/>
      <c r="L35" s="8"/>
      <c r="M35" s="8"/>
      <c r="N35" s="8"/>
      <c r="O35" s="6" t="s">
        <v>207</v>
      </c>
      <c r="P35" s="3">
        <f>COUNTIF('HeadCount&amp;Database '!F264:F349,"D")</f>
        <v>21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x14ac:dyDescent="0.2">
      <c r="A36" s="8"/>
      <c r="B36" s="8"/>
      <c r="C36" s="8"/>
      <c r="D36" s="8"/>
      <c r="E36" s="8"/>
      <c r="F36" s="8"/>
      <c r="G36" s="8"/>
      <c r="H36" s="6" t="s">
        <v>39</v>
      </c>
      <c r="I36" s="3">
        <f>COUNTIF('HeadCount&amp;Database '!F77:F124,"B")</f>
        <v>13</v>
      </c>
      <c r="J36" s="8"/>
      <c r="K36" s="8"/>
      <c r="L36" s="8"/>
      <c r="M36" s="8"/>
      <c r="N36" s="8"/>
      <c r="O36" s="6" t="s">
        <v>39</v>
      </c>
      <c r="P36" s="3">
        <f>COUNTIF('HeadCount&amp;Database '!F77:F124,"D")</f>
        <v>12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x14ac:dyDescent="0.2">
      <c r="A37" s="8"/>
      <c r="B37" s="8"/>
      <c r="C37" s="8"/>
      <c r="D37" s="8"/>
      <c r="E37" s="8"/>
      <c r="F37" s="8"/>
      <c r="G37" s="8"/>
      <c r="H37" s="6" t="s">
        <v>83</v>
      </c>
      <c r="I37" s="3">
        <f>COUNTIF('HeadCount&amp;Database '!F129:F246,"B")</f>
        <v>30</v>
      </c>
      <c r="J37" s="8"/>
      <c r="K37" s="8"/>
      <c r="L37" s="8"/>
      <c r="M37" s="8"/>
      <c r="N37" s="8"/>
      <c r="O37" s="6" t="s">
        <v>83</v>
      </c>
      <c r="P37" s="3">
        <f>COUNTIF('HeadCount&amp;Database '!F129:F246,"D")</f>
        <v>29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x14ac:dyDescent="0.2">
      <c r="A38" s="8"/>
      <c r="B38" s="8"/>
      <c r="C38" s="8"/>
      <c r="D38" s="8"/>
      <c r="E38" s="8"/>
      <c r="F38" s="8"/>
      <c r="G38" s="8"/>
      <c r="H38" s="6" t="s">
        <v>272</v>
      </c>
      <c r="I38" s="3">
        <f>COUNTIF('HeadCount&amp;Database '!F250:F261,"B")</f>
        <v>3</v>
      </c>
      <c r="J38" s="8"/>
      <c r="K38" s="8"/>
      <c r="L38" s="8"/>
      <c r="M38" s="8"/>
      <c r="N38" s="8"/>
      <c r="O38" s="6" t="s">
        <v>272</v>
      </c>
      <c r="P38" s="3">
        <f>COUNTIF('HeadCount&amp;Database '!F250:F261,"D")</f>
        <v>3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</sheetData>
  <mergeCells count="6">
    <mergeCell ref="V1:W2"/>
    <mergeCell ref="G12:J12"/>
    <mergeCell ref="G26:J26"/>
    <mergeCell ref="N26:Q26"/>
    <mergeCell ref="N12:Q12"/>
    <mergeCell ref="R1:U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HeadCount&amp;Database </vt:lpstr>
      <vt:lpstr>Sheet1</vt:lpstr>
      <vt:lpstr>Employe Database</vt:lpstr>
      <vt:lpstr>Head Count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Mahmoud Hamdy</dc:creator>
  <cp:keywords/>
  <dc:description/>
  <cp:lastModifiedBy>Roster</cp:lastModifiedBy>
  <cp:revision/>
  <cp:lastPrinted>2026-03-08T06:18:39Z</cp:lastPrinted>
  <dcterms:created xsi:type="dcterms:W3CDTF">2025-03-12T11:38:25Z</dcterms:created>
  <dcterms:modified xsi:type="dcterms:W3CDTF">2026-06-04T05:41:31Z</dcterms:modified>
  <cp:category/>
  <cp:contentStatus/>
</cp:coreProperties>
</file>